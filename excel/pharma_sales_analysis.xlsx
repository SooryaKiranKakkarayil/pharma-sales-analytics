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8800" windowHeight="12435" tabRatio="500" firstSheet="1" activeTab="1"/>
  </bookViews>
  <sheets>
    <sheet name="Dashboard" sheetId="1" r:id="rId1"/>
    <sheet name="Pivot" sheetId="7" r:id="rId2"/>
    <sheet name="Data" sheetId="2" r:id="rId3"/>
    <sheet name="Lookup" sheetId="3" r:id="rId4"/>
    <sheet name="Analysis" sheetId="4" r:id="rId5"/>
    <sheet name="Notes" sheetId="5" r:id="rId6"/>
  </sheets>
  <calcPr calcId="152511" iterateDelta="1E-4"/>
  <pivotCaches>
    <pivotCache cacheId="7" r:id="rId7"/>
  </pivotCaches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61" i="2" l="1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L11" i="4"/>
  <c r="M11" i="4" s="1"/>
  <c r="N10" i="4"/>
  <c r="L10" i="4"/>
  <c r="M10" i="4" s="1"/>
  <c r="M9" i="4"/>
  <c r="L9" i="4"/>
  <c r="N9" i="4" s="1"/>
  <c r="L8" i="4"/>
  <c r="M8" i="4" s="1"/>
  <c r="N7" i="4"/>
  <c r="M7" i="4"/>
  <c r="L7" i="4"/>
  <c r="N6" i="4"/>
  <c r="L6" i="4"/>
  <c r="M6" i="4" s="1"/>
  <c r="A6" i="4"/>
  <c r="I6" i="4" s="1"/>
  <c r="W5" i="4"/>
  <c r="W6" i="4" s="1"/>
  <c r="L5" i="4"/>
  <c r="N5" i="4" s="1"/>
  <c r="H5" i="4"/>
  <c r="D5" i="4"/>
  <c r="A5" i="4"/>
  <c r="L4" i="4"/>
  <c r="M4" i="4" s="1"/>
  <c r="G4" i="4"/>
  <c r="I3" i="4"/>
  <c r="I4" i="4" s="1"/>
  <c r="H3" i="4"/>
  <c r="H4" i="4" s="1"/>
  <c r="G3" i="4"/>
  <c r="G5" i="4" s="1"/>
  <c r="F3" i="4"/>
  <c r="F4" i="4" s="1"/>
  <c r="E3" i="4"/>
  <c r="E4" i="4" s="1"/>
  <c r="D3" i="4"/>
  <c r="D4" i="4" s="1"/>
  <c r="C3" i="4"/>
  <c r="C5" i="4" s="1"/>
  <c r="B3" i="4"/>
  <c r="B4" i="4" s="1"/>
  <c r="G561" i="2"/>
  <c r="E561" i="2"/>
  <c r="C561" i="2"/>
  <c r="B561" i="2"/>
  <c r="G560" i="2"/>
  <c r="E560" i="2"/>
  <c r="C560" i="2"/>
  <c r="B560" i="2"/>
  <c r="G559" i="2"/>
  <c r="E559" i="2"/>
  <c r="C559" i="2"/>
  <c r="B559" i="2"/>
  <c r="G558" i="2"/>
  <c r="E558" i="2"/>
  <c r="C558" i="2"/>
  <c r="B558" i="2"/>
  <c r="G557" i="2"/>
  <c r="E557" i="2"/>
  <c r="C557" i="2"/>
  <c r="B557" i="2"/>
  <c r="G556" i="2"/>
  <c r="E556" i="2"/>
  <c r="C556" i="2"/>
  <c r="B556" i="2"/>
  <c r="G555" i="2"/>
  <c r="E555" i="2"/>
  <c r="C555" i="2"/>
  <c r="B555" i="2"/>
  <c r="G554" i="2"/>
  <c r="E554" i="2"/>
  <c r="C554" i="2"/>
  <c r="B554" i="2"/>
  <c r="G553" i="2"/>
  <c r="E553" i="2"/>
  <c r="C553" i="2"/>
  <c r="B553" i="2"/>
  <c r="G552" i="2"/>
  <c r="E552" i="2"/>
  <c r="C552" i="2"/>
  <c r="B552" i="2"/>
  <c r="G551" i="2"/>
  <c r="E551" i="2"/>
  <c r="C551" i="2"/>
  <c r="B551" i="2"/>
  <c r="G550" i="2"/>
  <c r="E550" i="2"/>
  <c r="C550" i="2"/>
  <c r="B550" i="2"/>
  <c r="G549" i="2"/>
  <c r="E549" i="2"/>
  <c r="C549" i="2"/>
  <c r="B549" i="2"/>
  <c r="G548" i="2"/>
  <c r="E548" i="2"/>
  <c r="C548" i="2"/>
  <c r="B548" i="2"/>
  <c r="G547" i="2"/>
  <c r="E547" i="2"/>
  <c r="C547" i="2"/>
  <c r="B547" i="2"/>
  <c r="G546" i="2"/>
  <c r="E546" i="2"/>
  <c r="C546" i="2"/>
  <c r="B546" i="2"/>
  <c r="G545" i="2"/>
  <c r="E545" i="2"/>
  <c r="C545" i="2"/>
  <c r="B545" i="2"/>
  <c r="G544" i="2"/>
  <c r="E544" i="2"/>
  <c r="C544" i="2"/>
  <c r="B544" i="2"/>
  <c r="G543" i="2"/>
  <c r="E543" i="2"/>
  <c r="C543" i="2"/>
  <c r="B543" i="2"/>
  <c r="G542" i="2"/>
  <c r="E542" i="2"/>
  <c r="C542" i="2"/>
  <c r="B542" i="2"/>
  <c r="G541" i="2"/>
  <c r="E541" i="2"/>
  <c r="C541" i="2"/>
  <c r="B541" i="2"/>
  <c r="G540" i="2"/>
  <c r="E540" i="2"/>
  <c r="C540" i="2"/>
  <c r="B540" i="2"/>
  <c r="G539" i="2"/>
  <c r="E539" i="2"/>
  <c r="C539" i="2"/>
  <c r="B539" i="2"/>
  <c r="G538" i="2"/>
  <c r="E538" i="2"/>
  <c r="C538" i="2"/>
  <c r="B538" i="2"/>
  <c r="G537" i="2"/>
  <c r="E537" i="2"/>
  <c r="C537" i="2"/>
  <c r="B537" i="2"/>
  <c r="G536" i="2"/>
  <c r="E536" i="2"/>
  <c r="C536" i="2"/>
  <c r="B536" i="2"/>
  <c r="G535" i="2"/>
  <c r="E535" i="2"/>
  <c r="C535" i="2"/>
  <c r="B535" i="2"/>
  <c r="G534" i="2"/>
  <c r="E534" i="2"/>
  <c r="C534" i="2"/>
  <c r="B534" i="2"/>
  <c r="G533" i="2"/>
  <c r="E533" i="2"/>
  <c r="C533" i="2"/>
  <c r="B533" i="2"/>
  <c r="G532" i="2"/>
  <c r="E532" i="2"/>
  <c r="C532" i="2"/>
  <c r="B532" i="2"/>
  <c r="G531" i="2"/>
  <c r="E531" i="2"/>
  <c r="C531" i="2"/>
  <c r="B531" i="2"/>
  <c r="G530" i="2"/>
  <c r="E530" i="2"/>
  <c r="C530" i="2"/>
  <c r="B530" i="2"/>
  <c r="G529" i="2"/>
  <c r="E529" i="2"/>
  <c r="C529" i="2"/>
  <c r="B529" i="2"/>
  <c r="G528" i="2"/>
  <c r="E528" i="2"/>
  <c r="C528" i="2"/>
  <c r="B528" i="2"/>
  <c r="G527" i="2"/>
  <c r="E527" i="2"/>
  <c r="C527" i="2"/>
  <c r="B527" i="2"/>
  <c r="G526" i="2"/>
  <c r="E526" i="2"/>
  <c r="C526" i="2"/>
  <c r="B526" i="2"/>
  <c r="G525" i="2"/>
  <c r="E525" i="2"/>
  <c r="C525" i="2"/>
  <c r="B525" i="2"/>
  <c r="G524" i="2"/>
  <c r="E524" i="2"/>
  <c r="C524" i="2"/>
  <c r="B524" i="2"/>
  <c r="G523" i="2"/>
  <c r="E523" i="2"/>
  <c r="C523" i="2"/>
  <c r="B523" i="2"/>
  <c r="G522" i="2"/>
  <c r="E522" i="2"/>
  <c r="C522" i="2"/>
  <c r="B522" i="2"/>
  <c r="G521" i="2"/>
  <c r="E521" i="2"/>
  <c r="C521" i="2"/>
  <c r="B521" i="2"/>
  <c r="G520" i="2"/>
  <c r="E520" i="2"/>
  <c r="C520" i="2"/>
  <c r="B520" i="2"/>
  <c r="G519" i="2"/>
  <c r="E519" i="2"/>
  <c r="C519" i="2"/>
  <c r="B519" i="2"/>
  <c r="G518" i="2"/>
  <c r="E518" i="2"/>
  <c r="C518" i="2"/>
  <c r="B518" i="2"/>
  <c r="G517" i="2"/>
  <c r="E517" i="2"/>
  <c r="C517" i="2"/>
  <c r="B517" i="2"/>
  <c r="G516" i="2"/>
  <c r="E516" i="2"/>
  <c r="C516" i="2"/>
  <c r="B516" i="2"/>
  <c r="G515" i="2"/>
  <c r="E515" i="2"/>
  <c r="C515" i="2"/>
  <c r="B515" i="2"/>
  <c r="G514" i="2"/>
  <c r="E514" i="2"/>
  <c r="C514" i="2"/>
  <c r="B514" i="2"/>
  <c r="G513" i="2"/>
  <c r="E513" i="2"/>
  <c r="C513" i="2"/>
  <c r="B513" i="2"/>
  <c r="G512" i="2"/>
  <c r="E512" i="2"/>
  <c r="C512" i="2"/>
  <c r="B512" i="2"/>
  <c r="G511" i="2"/>
  <c r="E511" i="2"/>
  <c r="C511" i="2"/>
  <c r="B511" i="2"/>
  <c r="G510" i="2"/>
  <c r="E510" i="2"/>
  <c r="C510" i="2"/>
  <c r="B510" i="2"/>
  <c r="G509" i="2"/>
  <c r="E509" i="2"/>
  <c r="C509" i="2"/>
  <c r="B509" i="2"/>
  <c r="G508" i="2"/>
  <c r="E508" i="2"/>
  <c r="C508" i="2"/>
  <c r="B508" i="2"/>
  <c r="G507" i="2"/>
  <c r="E507" i="2"/>
  <c r="C507" i="2"/>
  <c r="B507" i="2"/>
  <c r="G506" i="2"/>
  <c r="E506" i="2"/>
  <c r="C506" i="2"/>
  <c r="B506" i="2"/>
  <c r="G505" i="2"/>
  <c r="E505" i="2"/>
  <c r="C505" i="2"/>
  <c r="B505" i="2"/>
  <c r="G504" i="2"/>
  <c r="E504" i="2"/>
  <c r="C504" i="2"/>
  <c r="B504" i="2"/>
  <c r="G503" i="2"/>
  <c r="E503" i="2"/>
  <c r="C503" i="2"/>
  <c r="B503" i="2"/>
  <c r="G502" i="2"/>
  <c r="E502" i="2"/>
  <c r="C502" i="2"/>
  <c r="B502" i="2"/>
  <c r="G501" i="2"/>
  <c r="E501" i="2"/>
  <c r="C501" i="2"/>
  <c r="B501" i="2"/>
  <c r="G500" i="2"/>
  <c r="E500" i="2"/>
  <c r="C500" i="2"/>
  <c r="B500" i="2"/>
  <c r="G499" i="2"/>
  <c r="E499" i="2"/>
  <c r="C499" i="2"/>
  <c r="B499" i="2"/>
  <c r="G498" i="2"/>
  <c r="E498" i="2"/>
  <c r="C498" i="2"/>
  <c r="B498" i="2"/>
  <c r="G497" i="2"/>
  <c r="E497" i="2"/>
  <c r="C497" i="2"/>
  <c r="B497" i="2"/>
  <c r="G496" i="2"/>
  <c r="E496" i="2"/>
  <c r="C496" i="2"/>
  <c r="B496" i="2"/>
  <c r="G495" i="2"/>
  <c r="E495" i="2"/>
  <c r="C495" i="2"/>
  <c r="B495" i="2"/>
  <c r="G494" i="2"/>
  <c r="E494" i="2"/>
  <c r="C494" i="2"/>
  <c r="B494" i="2"/>
  <c r="G493" i="2"/>
  <c r="E493" i="2"/>
  <c r="C493" i="2"/>
  <c r="B493" i="2"/>
  <c r="G492" i="2"/>
  <c r="E492" i="2"/>
  <c r="C492" i="2"/>
  <c r="B492" i="2"/>
  <c r="G491" i="2"/>
  <c r="E491" i="2"/>
  <c r="C491" i="2"/>
  <c r="B491" i="2"/>
  <c r="G490" i="2"/>
  <c r="E490" i="2"/>
  <c r="C490" i="2"/>
  <c r="B490" i="2"/>
  <c r="G489" i="2"/>
  <c r="E489" i="2"/>
  <c r="C489" i="2"/>
  <c r="B489" i="2"/>
  <c r="G488" i="2"/>
  <c r="E488" i="2"/>
  <c r="C488" i="2"/>
  <c r="B488" i="2"/>
  <c r="G487" i="2"/>
  <c r="E487" i="2"/>
  <c r="C487" i="2"/>
  <c r="B487" i="2"/>
  <c r="G486" i="2"/>
  <c r="E486" i="2"/>
  <c r="C486" i="2"/>
  <c r="B486" i="2"/>
  <c r="G485" i="2"/>
  <c r="E485" i="2"/>
  <c r="C485" i="2"/>
  <c r="B485" i="2"/>
  <c r="G484" i="2"/>
  <c r="E484" i="2"/>
  <c r="C484" i="2"/>
  <c r="B484" i="2"/>
  <c r="G483" i="2"/>
  <c r="E483" i="2"/>
  <c r="C483" i="2"/>
  <c r="B483" i="2"/>
  <c r="G482" i="2"/>
  <c r="E482" i="2"/>
  <c r="C482" i="2"/>
  <c r="B482" i="2"/>
  <c r="G481" i="2"/>
  <c r="E481" i="2"/>
  <c r="C481" i="2"/>
  <c r="B481" i="2"/>
  <c r="G480" i="2"/>
  <c r="E480" i="2"/>
  <c r="C480" i="2"/>
  <c r="B480" i="2"/>
  <c r="G479" i="2"/>
  <c r="E479" i="2"/>
  <c r="C479" i="2"/>
  <c r="B479" i="2"/>
  <c r="G478" i="2"/>
  <c r="E478" i="2"/>
  <c r="C478" i="2"/>
  <c r="B478" i="2"/>
  <c r="G477" i="2"/>
  <c r="E477" i="2"/>
  <c r="C477" i="2"/>
  <c r="B477" i="2"/>
  <c r="G476" i="2"/>
  <c r="E476" i="2"/>
  <c r="C476" i="2"/>
  <c r="B476" i="2"/>
  <c r="G475" i="2"/>
  <c r="E475" i="2"/>
  <c r="C475" i="2"/>
  <c r="B475" i="2"/>
  <c r="G474" i="2"/>
  <c r="E474" i="2"/>
  <c r="C474" i="2"/>
  <c r="B474" i="2"/>
  <c r="G473" i="2"/>
  <c r="E473" i="2"/>
  <c r="C473" i="2"/>
  <c r="B473" i="2"/>
  <c r="G472" i="2"/>
  <c r="E472" i="2"/>
  <c r="C472" i="2"/>
  <c r="B472" i="2"/>
  <c r="G471" i="2"/>
  <c r="E471" i="2"/>
  <c r="C471" i="2"/>
  <c r="B471" i="2"/>
  <c r="G470" i="2"/>
  <c r="E470" i="2"/>
  <c r="C470" i="2"/>
  <c r="B470" i="2"/>
  <c r="G469" i="2"/>
  <c r="E469" i="2"/>
  <c r="C469" i="2"/>
  <c r="B469" i="2"/>
  <c r="G468" i="2"/>
  <c r="E468" i="2"/>
  <c r="C468" i="2"/>
  <c r="B468" i="2"/>
  <c r="G467" i="2"/>
  <c r="E467" i="2"/>
  <c r="C467" i="2"/>
  <c r="B467" i="2"/>
  <c r="G466" i="2"/>
  <c r="E466" i="2"/>
  <c r="C466" i="2"/>
  <c r="B466" i="2"/>
  <c r="G465" i="2"/>
  <c r="E465" i="2"/>
  <c r="C465" i="2"/>
  <c r="B465" i="2"/>
  <c r="G464" i="2"/>
  <c r="E464" i="2"/>
  <c r="C464" i="2"/>
  <c r="B464" i="2"/>
  <c r="G463" i="2"/>
  <c r="E463" i="2"/>
  <c r="C463" i="2"/>
  <c r="B463" i="2"/>
  <c r="G462" i="2"/>
  <c r="E462" i="2"/>
  <c r="C462" i="2"/>
  <c r="B462" i="2"/>
  <c r="G461" i="2"/>
  <c r="E461" i="2"/>
  <c r="C461" i="2"/>
  <c r="B461" i="2"/>
  <c r="G460" i="2"/>
  <c r="E460" i="2"/>
  <c r="C460" i="2"/>
  <c r="B460" i="2"/>
  <c r="G459" i="2"/>
  <c r="E459" i="2"/>
  <c r="C459" i="2"/>
  <c r="B459" i="2"/>
  <c r="G458" i="2"/>
  <c r="E458" i="2"/>
  <c r="C458" i="2"/>
  <c r="B458" i="2"/>
  <c r="G457" i="2"/>
  <c r="E457" i="2"/>
  <c r="C457" i="2"/>
  <c r="B457" i="2"/>
  <c r="G456" i="2"/>
  <c r="E456" i="2"/>
  <c r="C456" i="2"/>
  <c r="B456" i="2"/>
  <c r="G455" i="2"/>
  <c r="E455" i="2"/>
  <c r="C455" i="2"/>
  <c r="B455" i="2"/>
  <c r="G454" i="2"/>
  <c r="E454" i="2"/>
  <c r="C454" i="2"/>
  <c r="B454" i="2"/>
  <c r="G453" i="2"/>
  <c r="E453" i="2"/>
  <c r="C453" i="2"/>
  <c r="B453" i="2"/>
  <c r="G452" i="2"/>
  <c r="E452" i="2"/>
  <c r="C452" i="2"/>
  <c r="B452" i="2"/>
  <c r="G451" i="2"/>
  <c r="E451" i="2"/>
  <c r="C451" i="2"/>
  <c r="B451" i="2"/>
  <c r="G450" i="2"/>
  <c r="E450" i="2"/>
  <c r="C450" i="2"/>
  <c r="B450" i="2"/>
  <c r="G449" i="2"/>
  <c r="E449" i="2"/>
  <c r="C449" i="2"/>
  <c r="B449" i="2"/>
  <c r="G448" i="2"/>
  <c r="E448" i="2"/>
  <c r="C448" i="2"/>
  <c r="B448" i="2"/>
  <c r="G447" i="2"/>
  <c r="E447" i="2"/>
  <c r="C447" i="2"/>
  <c r="B447" i="2"/>
  <c r="G446" i="2"/>
  <c r="E446" i="2"/>
  <c r="C446" i="2"/>
  <c r="B446" i="2"/>
  <c r="G445" i="2"/>
  <c r="E445" i="2"/>
  <c r="C445" i="2"/>
  <c r="B445" i="2"/>
  <c r="G444" i="2"/>
  <c r="E444" i="2"/>
  <c r="C444" i="2"/>
  <c r="B444" i="2"/>
  <c r="G443" i="2"/>
  <c r="E443" i="2"/>
  <c r="C443" i="2"/>
  <c r="B443" i="2"/>
  <c r="G442" i="2"/>
  <c r="E442" i="2"/>
  <c r="C442" i="2"/>
  <c r="B442" i="2"/>
  <c r="G441" i="2"/>
  <c r="E441" i="2"/>
  <c r="C441" i="2"/>
  <c r="B441" i="2"/>
  <c r="G440" i="2"/>
  <c r="E440" i="2"/>
  <c r="C440" i="2"/>
  <c r="B440" i="2"/>
  <c r="G439" i="2"/>
  <c r="E439" i="2"/>
  <c r="C439" i="2"/>
  <c r="B439" i="2"/>
  <c r="G438" i="2"/>
  <c r="E438" i="2"/>
  <c r="C438" i="2"/>
  <c r="B438" i="2"/>
  <c r="G437" i="2"/>
  <c r="E437" i="2"/>
  <c r="C437" i="2"/>
  <c r="B437" i="2"/>
  <c r="G436" i="2"/>
  <c r="E436" i="2"/>
  <c r="C436" i="2"/>
  <c r="B436" i="2"/>
  <c r="G435" i="2"/>
  <c r="E435" i="2"/>
  <c r="C435" i="2"/>
  <c r="B435" i="2"/>
  <c r="G434" i="2"/>
  <c r="E434" i="2"/>
  <c r="C434" i="2"/>
  <c r="B434" i="2"/>
  <c r="G433" i="2"/>
  <c r="E433" i="2"/>
  <c r="C433" i="2"/>
  <c r="B433" i="2"/>
  <c r="G432" i="2"/>
  <c r="E432" i="2"/>
  <c r="C432" i="2"/>
  <c r="B432" i="2"/>
  <c r="G431" i="2"/>
  <c r="E431" i="2"/>
  <c r="C431" i="2"/>
  <c r="B431" i="2"/>
  <c r="G430" i="2"/>
  <c r="E430" i="2"/>
  <c r="C430" i="2"/>
  <c r="B430" i="2"/>
  <c r="G429" i="2"/>
  <c r="E429" i="2"/>
  <c r="C429" i="2"/>
  <c r="B429" i="2"/>
  <c r="G428" i="2"/>
  <c r="E428" i="2"/>
  <c r="C428" i="2"/>
  <c r="B428" i="2"/>
  <c r="G427" i="2"/>
  <c r="E427" i="2"/>
  <c r="C427" i="2"/>
  <c r="B427" i="2"/>
  <c r="G426" i="2"/>
  <c r="E426" i="2"/>
  <c r="C426" i="2"/>
  <c r="B426" i="2"/>
  <c r="G425" i="2"/>
  <c r="E425" i="2"/>
  <c r="C425" i="2"/>
  <c r="B425" i="2"/>
  <c r="G424" i="2"/>
  <c r="E424" i="2"/>
  <c r="C424" i="2"/>
  <c r="B424" i="2"/>
  <c r="G423" i="2"/>
  <c r="E423" i="2"/>
  <c r="C423" i="2"/>
  <c r="B423" i="2"/>
  <c r="G422" i="2"/>
  <c r="E422" i="2"/>
  <c r="C422" i="2"/>
  <c r="B422" i="2"/>
  <c r="G421" i="2"/>
  <c r="E421" i="2"/>
  <c r="C421" i="2"/>
  <c r="B421" i="2"/>
  <c r="G420" i="2"/>
  <c r="E420" i="2"/>
  <c r="C420" i="2"/>
  <c r="B420" i="2"/>
  <c r="G419" i="2"/>
  <c r="E419" i="2"/>
  <c r="C419" i="2"/>
  <c r="B419" i="2"/>
  <c r="G418" i="2"/>
  <c r="E418" i="2"/>
  <c r="C418" i="2"/>
  <c r="B418" i="2"/>
  <c r="G417" i="2"/>
  <c r="E417" i="2"/>
  <c r="C417" i="2"/>
  <c r="B417" i="2"/>
  <c r="G416" i="2"/>
  <c r="E416" i="2"/>
  <c r="C416" i="2"/>
  <c r="B416" i="2"/>
  <c r="G415" i="2"/>
  <c r="E415" i="2"/>
  <c r="C415" i="2"/>
  <c r="B415" i="2"/>
  <c r="G414" i="2"/>
  <c r="E414" i="2"/>
  <c r="C414" i="2"/>
  <c r="B414" i="2"/>
  <c r="G413" i="2"/>
  <c r="E413" i="2"/>
  <c r="C413" i="2"/>
  <c r="B413" i="2"/>
  <c r="G412" i="2"/>
  <c r="E412" i="2"/>
  <c r="C412" i="2"/>
  <c r="B412" i="2"/>
  <c r="G411" i="2"/>
  <c r="E411" i="2"/>
  <c r="C411" i="2"/>
  <c r="B411" i="2"/>
  <c r="G410" i="2"/>
  <c r="E410" i="2"/>
  <c r="C410" i="2"/>
  <c r="B410" i="2"/>
  <c r="G409" i="2"/>
  <c r="E409" i="2"/>
  <c r="C409" i="2"/>
  <c r="B409" i="2"/>
  <c r="G408" i="2"/>
  <c r="E408" i="2"/>
  <c r="C408" i="2"/>
  <c r="B408" i="2"/>
  <c r="G407" i="2"/>
  <c r="E407" i="2"/>
  <c r="C407" i="2"/>
  <c r="B407" i="2"/>
  <c r="G406" i="2"/>
  <c r="E406" i="2"/>
  <c r="C406" i="2"/>
  <c r="B406" i="2"/>
  <c r="G405" i="2"/>
  <c r="E405" i="2"/>
  <c r="C405" i="2"/>
  <c r="B405" i="2"/>
  <c r="G404" i="2"/>
  <c r="E404" i="2"/>
  <c r="C404" i="2"/>
  <c r="B404" i="2"/>
  <c r="G403" i="2"/>
  <c r="E403" i="2"/>
  <c r="C403" i="2"/>
  <c r="B403" i="2"/>
  <c r="G402" i="2"/>
  <c r="E402" i="2"/>
  <c r="C402" i="2"/>
  <c r="B402" i="2"/>
  <c r="G401" i="2"/>
  <c r="E401" i="2"/>
  <c r="C401" i="2"/>
  <c r="B401" i="2"/>
  <c r="G400" i="2"/>
  <c r="E400" i="2"/>
  <c r="C400" i="2"/>
  <c r="B400" i="2"/>
  <c r="G399" i="2"/>
  <c r="E399" i="2"/>
  <c r="C399" i="2"/>
  <c r="B399" i="2"/>
  <c r="G398" i="2"/>
  <c r="E398" i="2"/>
  <c r="C398" i="2"/>
  <c r="B398" i="2"/>
  <c r="G397" i="2"/>
  <c r="E397" i="2"/>
  <c r="C397" i="2"/>
  <c r="B397" i="2"/>
  <c r="G396" i="2"/>
  <c r="E396" i="2"/>
  <c r="C396" i="2"/>
  <c r="B396" i="2"/>
  <c r="G395" i="2"/>
  <c r="E395" i="2"/>
  <c r="C395" i="2"/>
  <c r="B395" i="2"/>
  <c r="G394" i="2"/>
  <c r="E394" i="2"/>
  <c r="C394" i="2"/>
  <c r="B394" i="2"/>
  <c r="G393" i="2"/>
  <c r="E393" i="2"/>
  <c r="C393" i="2"/>
  <c r="B393" i="2"/>
  <c r="G392" i="2"/>
  <c r="E392" i="2"/>
  <c r="C392" i="2"/>
  <c r="B392" i="2"/>
  <c r="G391" i="2"/>
  <c r="E391" i="2"/>
  <c r="C391" i="2"/>
  <c r="B391" i="2"/>
  <c r="G390" i="2"/>
  <c r="E390" i="2"/>
  <c r="C390" i="2"/>
  <c r="B390" i="2"/>
  <c r="G389" i="2"/>
  <c r="E389" i="2"/>
  <c r="C389" i="2"/>
  <c r="B389" i="2"/>
  <c r="G388" i="2"/>
  <c r="E388" i="2"/>
  <c r="C388" i="2"/>
  <c r="B388" i="2"/>
  <c r="G387" i="2"/>
  <c r="E387" i="2"/>
  <c r="C387" i="2"/>
  <c r="B387" i="2"/>
  <c r="G386" i="2"/>
  <c r="E386" i="2"/>
  <c r="C386" i="2"/>
  <c r="B386" i="2"/>
  <c r="G385" i="2"/>
  <c r="E385" i="2"/>
  <c r="C385" i="2"/>
  <c r="B385" i="2"/>
  <c r="G384" i="2"/>
  <c r="E384" i="2"/>
  <c r="C384" i="2"/>
  <c r="B384" i="2"/>
  <c r="G383" i="2"/>
  <c r="E383" i="2"/>
  <c r="C383" i="2"/>
  <c r="B383" i="2"/>
  <c r="G382" i="2"/>
  <c r="E382" i="2"/>
  <c r="C382" i="2"/>
  <c r="B382" i="2"/>
  <c r="G381" i="2"/>
  <c r="E381" i="2"/>
  <c r="C381" i="2"/>
  <c r="B381" i="2"/>
  <c r="G380" i="2"/>
  <c r="E380" i="2"/>
  <c r="C380" i="2"/>
  <c r="B380" i="2"/>
  <c r="G379" i="2"/>
  <c r="E379" i="2"/>
  <c r="C379" i="2"/>
  <c r="B379" i="2"/>
  <c r="G378" i="2"/>
  <c r="E378" i="2"/>
  <c r="C378" i="2"/>
  <c r="B378" i="2"/>
  <c r="G377" i="2"/>
  <c r="E377" i="2"/>
  <c r="C377" i="2"/>
  <c r="B377" i="2"/>
  <c r="G376" i="2"/>
  <c r="E376" i="2"/>
  <c r="C376" i="2"/>
  <c r="B376" i="2"/>
  <c r="G375" i="2"/>
  <c r="E375" i="2"/>
  <c r="C375" i="2"/>
  <c r="B375" i="2"/>
  <c r="G374" i="2"/>
  <c r="E374" i="2"/>
  <c r="C374" i="2"/>
  <c r="B374" i="2"/>
  <c r="G373" i="2"/>
  <c r="E373" i="2"/>
  <c r="C373" i="2"/>
  <c r="B373" i="2"/>
  <c r="G372" i="2"/>
  <c r="E372" i="2"/>
  <c r="C372" i="2"/>
  <c r="B372" i="2"/>
  <c r="G371" i="2"/>
  <c r="E371" i="2"/>
  <c r="C371" i="2"/>
  <c r="B371" i="2"/>
  <c r="G370" i="2"/>
  <c r="E370" i="2"/>
  <c r="C370" i="2"/>
  <c r="B370" i="2"/>
  <c r="G369" i="2"/>
  <c r="E369" i="2"/>
  <c r="C369" i="2"/>
  <c r="B369" i="2"/>
  <c r="G368" i="2"/>
  <c r="E368" i="2"/>
  <c r="C368" i="2"/>
  <c r="B368" i="2"/>
  <c r="G367" i="2"/>
  <c r="E367" i="2"/>
  <c r="C367" i="2"/>
  <c r="B367" i="2"/>
  <c r="G366" i="2"/>
  <c r="E366" i="2"/>
  <c r="C366" i="2"/>
  <c r="B366" i="2"/>
  <c r="G365" i="2"/>
  <c r="E365" i="2"/>
  <c r="C365" i="2"/>
  <c r="B365" i="2"/>
  <c r="G364" i="2"/>
  <c r="E364" i="2"/>
  <c r="C364" i="2"/>
  <c r="B364" i="2"/>
  <c r="G363" i="2"/>
  <c r="E363" i="2"/>
  <c r="C363" i="2"/>
  <c r="B363" i="2"/>
  <c r="G362" i="2"/>
  <c r="E362" i="2"/>
  <c r="C362" i="2"/>
  <c r="B362" i="2"/>
  <c r="G361" i="2"/>
  <c r="E361" i="2"/>
  <c r="C361" i="2"/>
  <c r="B361" i="2"/>
  <c r="G360" i="2"/>
  <c r="E360" i="2"/>
  <c r="C360" i="2"/>
  <c r="B360" i="2"/>
  <c r="G359" i="2"/>
  <c r="E359" i="2"/>
  <c r="C359" i="2"/>
  <c r="B359" i="2"/>
  <c r="G358" i="2"/>
  <c r="E358" i="2"/>
  <c r="C358" i="2"/>
  <c r="B358" i="2"/>
  <c r="G357" i="2"/>
  <c r="E357" i="2"/>
  <c r="C357" i="2"/>
  <c r="B357" i="2"/>
  <c r="G356" i="2"/>
  <c r="E356" i="2"/>
  <c r="C356" i="2"/>
  <c r="B356" i="2"/>
  <c r="G355" i="2"/>
  <c r="E355" i="2"/>
  <c r="C355" i="2"/>
  <c r="B355" i="2"/>
  <c r="G354" i="2"/>
  <c r="E354" i="2"/>
  <c r="C354" i="2"/>
  <c r="B354" i="2"/>
  <c r="G353" i="2"/>
  <c r="E353" i="2"/>
  <c r="C353" i="2"/>
  <c r="B353" i="2"/>
  <c r="G352" i="2"/>
  <c r="E352" i="2"/>
  <c r="C352" i="2"/>
  <c r="B352" i="2"/>
  <c r="G351" i="2"/>
  <c r="E351" i="2"/>
  <c r="C351" i="2"/>
  <c r="B351" i="2"/>
  <c r="G350" i="2"/>
  <c r="E350" i="2"/>
  <c r="C350" i="2"/>
  <c r="B350" i="2"/>
  <c r="G349" i="2"/>
  <c r="E349" i="2"/>
  <c r="C349" i="2"/>
  <c r="B349" i="2"/>
  <c r="G348" i="2"/>
  <c r="E348" i="2"/>
  <c r="C348" i="2"/>
  <c r="B348" i="2"/>
  <c r="G347" i="2"/>
  <c r="E347" i="2"/>
  <c r="C347" i="2"/>
  <c r="B347" i="2"/>
  <c r="G346" i="2"/>
  <c r="E346" i="2"/>
  <c r="C346" i="2"/>
  <c r="B346" i="2"/>
  <c r="G345" i="2"/>
  <c r="E345" i="2"/>
  <c r="C345" i="2"/>
  <c r="B345" i="2"/>
  <c r="G344" i="2"/>
  <c r="E344" i="2"/>
  <c r="C344" i="2"/>
  <c r="B344" i="2"/>
  <c r="G343" i="2"/>
  <c r="E343" i="2"/>
  <c r="C343" i="2"/>
  <c r="B343" i="2"/>
  <c r="G342" i="2"/>
  <c r="E342" i="2"/>
  <c r="C342" i="2"/>
  <c r="B342" i="2"/>
  <c r="G341" i="2"/>
  <c r="E341" i="2"/>
  <c r="C341" i="2"/>
  <c r="B341" i="2"/>
  <c r="G340" i="2"/>
  <c r="E340" i="2"/>
  <c r="C340" i="2"/>
  <c r="B340" i="2"/>
  <c r="G339" i="2"/>
  <c r="E339" i="2"/>
  <c r="C339" i="2"/>
  <c r="B339" i="2"/>
  <c r="G338" i="2"/>
  <c r="E338" i="2"/>
  <c r="C338" i="2"/>
  <c r="B338" i="2"/>
  <c r="G337" i="2"/>
  <c r="E337" i="2"/>
  <c r="C337" i="2"/>
  <c r="B337" i="2"/>
  <c r="G336" i="2"/>
  <c r="E336" i="2"/>
  <c r="C336" i="2"/>
  <c r="B336" i="2"/>
  <c r="G335" i="2"/>
  <c r="E335" i="2"/>
  <c r="C335" i="2"/>
  <c r="B335" i="2"/>
  <c r="G334" i="2"/>
  <c r="E334" i="2"/>
  <c r="C334" i="2"/>
  <c r="B334" i="2"/>
  <c r="G333" i="2"/>
  <c r="E333" i="2"/>
  <c r="C333" i="2"/>
  <c r="B333" i="2"/>
  <c r="G332" i="2"/>
  <c r="E332" i="2"/>
  <c r="C332" i="2"/>
  <c r="B332" i="2"/>
  <c r="G331" i="2"/>
  <c r="E331" i="2"/>
  <c r="C331" i="2"/>
  <c r="B331" i="2"/>
  <c r="G330" i="2"/>
  <c r="E330" i="2"/>
  <c r="C330" i="2"/>
  <c r="B330" i="2"/>
  <c r="G329" i="2"/>
  <c r="E329" i="2"/>
  <c r="C329" i="2"/>
  <c r="B329" i="2"/>
  <c r="G328" i="2"/>
  <c r="E328" i="2"/>
  <c r="C328" i="2"/>
  <c r="B328" i="2"/>
  <c r="G327" i="2"/>
  <c r="E327" i="2"/>
  <c r="C327" i="2"/>
  <c r="B327" i="2"/>
  <c r="G326" i="2"/>
  <c r="E326" i="2"/>
  <c r="C326" i="2"/>
  <c r="B326" i="2"/>
  <c r="G325" i="2"/>
  <c r="E325" i="2"/>
  <c r="C325" i="2"/>
  <c r="B325" i="2"/>
  <c r="G324" i="2"/>
  <c r="E324" i="2"/>
  <c r="C324" i="2"/>
  <c r="B324" i="2"/>
  <c r="G323" i="2"/>
  <c r="E323" i="2"/>
  <c r="C323" i="2"/>
  <c r="B323" i="2"/>
  <c r="G322" i="2"/>
  <c r="E322" i="2"/>
  <c r="C322" i="2"/>
  <c r="B322" i="2"/>
  <c r="G321" i="2"/>
  <c r="E321" i="2"/>
  <c r="C321" i="2"/>
  <c r="B321" i="2"/>
  <c r="G320" i="2"/>
  <c r="E320" i="2"/>
  <c r="C320" i="2"/>
  <c r="B320" i="2"/>
  <c r="G319" i="2"/>
  <c r="E319" i="2"/>
  <c r="C319" i="2"/>
  <c r="B319" i="2"/>
  <c r="G318" i="2"/>
  <c r="E318" i="2"/>
  <c r="C318" i="2"/>
  <c r="B318" i="2"/>
  <c r="G317" i="2"/>
  <c r="E317" i="2"/>
  <c r="C317" i="2"/>
  <c r="B317" i="2"/>
  <c r="G316" i="2"/>
  <c r="E316" i="2"/>
  <c r="C316" i="2"/>
  <c r="B316" i="2"/>
  <c r="G315" i="2"/>
  <c r="E315" i="2"/>
  <c r="C315" i="2"/>
  <c r="B315" i="2"/>
  <c r="G314" i="2"/>
  <c r="E314" i="2"/>
  <c r="C314" i="2"/>
  <c r="B314" i="2"/>
  <c r="G313" i="2"/>
  <c r="E313" i="2"/>
  <c r="C313" i="2"/>
  <c r="B313" i="2"/>
  <c r="G312" i="2"/>
  <c r="E312" i="2"/>
  <c r="C312" i="2"/>
  <c r="B312" i="2"/>
  <c r="G311" i="2"/>
  <c r="E311" i="2"/>
  <c r="C311" i="2"/>
  <c r="B311" i="2"/>
  <c r="G310" i="2"/>
  <c r="E310" i="2"/>
  <c r="C310" i="2"/>
  <c r="B310" i="2"/>
  <c r="G309" i="2"/>
  <c r="E309" i="2"/>
  <c r="C309" i="2"/>
  <c r="B309" i="2"/>
  <c r="G308" i="2"/>
  <c r="E308" i="2"/>
  <c r="C308" i="2"/>
  <c r="B308" i="2"/>
  <c r="G307" i="2"/>
  <c r="E307" i="2"/>
  <c r="C307" i="2"/>
  <c r="B307" i="2"/>
  <c r="G306" i="2"/>
  <c r="E306" i="2"/>
  <c r="C306" i="2"/>
  <c r="B306" i="2"/>
  <c r="G305" i="2"/>
  <c r="E305" i="2"/>
  <c r="C305" i="2"/>
  <c r="B305" i="2"/>
  <c r="G304" i="2"/>
  <c r="E304" i="2"/>
  <c r="C304" i="2"/>
  <c r="B304" i="2"/>
  <c r="G303" i="2"/>
  <c r="E303" i="2"/>
  <c r="C303" i="2"/>
  <c r="B303" i="2"/>
  <c r="G302" i="2"/>
  <c r="E302" i="2"/>
  <c r="C302" i="2"/>
  <c r="B302" i="2"/>
  <c r="G301" i="2"/>
  <c r="E301" i="2"/>
  <c r="C301" i="2"/>
  <c r="B301" i="2"/>
  <c r="G300" i="2"/>
  <c r="E300" i="2"/>
  <c r="C300" i="2"/>
  <c r="B300" i="2"/>
  <c r="G299" i="2"/>
  <c r="E299" i="2"/>
  <c r="C299" i="2"/>
  <c r="B299" i="2"/>
  <c r="G298" i="2"/>
  <c r="E298" i="2"/>
  <c r="C298" i="2"/>
  <c r="B298" i="2"/>
  <c r="G297" i="2"/>
  <c r="E297" i="2"/>
  <c r="C297" i="2"/>
  <c r="B297" i="2"/>
  <c r="G296" i="2"/>
  <c r="E296" i="2"/>
  <c r="C296" i="2"/>
  <c r="B296" i="2"/>
  <c r="G295" i="2"/>
  <c r="E295" i="2"/>
  <c r="C295" i="2"/>
  <c r="B295" i="2"/>
  <c r="G294" i="2"/>
  <c r="E294" i="2"/>
  <c r="C294" i="2"/>
  <c r="B294" i="2"/>
  <c r="G293" i="2"/>
  <c r="E293" i="2"/>
  <c r="C293" i="2"/>
  <c r="B293" i="2"/>
  <c r="G292" i="2"/>
  <c r="E292" i="2"/>
  <c r="C292" i="2"/>
  <c r="B292" i="2"/>
  <c r="G291" i="2"/>
  <c r="E291" i="2"/>
  <c r="C291" i="2"/>
  <c r="B291" i="2"/>
  <c r="G290" i="2"/>
  <c r="E290" i="2"/>
  <c r="C290" i="2"/>
  <c r="B290" i="2"/>
  <c r="G289" i="2"/>
  <c r="E289" i="2"/>
  <c r="C289" i="2"/>
  <c r="B289" i="2"/>
  <c r="G288" i="2"/>
  <c r="E288" i="2"/>
  <c r="C288" i="2"/>
  <c r="B288" i="2"/>
  <c r="G287" i="2"/>
  <c r="E287" i="2"/>
  <c r="C287" i="2"/>
  <c r="B287" i="2"/>
  <c r="G286" i="2"/>
  <c r="E286" i="2"/>
  <c r="C286" i="2"/>
  <c r="B286" i="2"/>
  <c r="G285" i="2"/>
  <c r="E285" i="2"/>
  <c r="C285" i="2"/>
  <c r="B285" i="2"/>
  <c r="G284" i="2"/>
  <c r="E284" i="2"/>
  <c r="C284" i="2"/>
  <c r="B284" i="2"/>
  <c r="G283" i="2"/>
  <c r="E283" i="2"/>
  <c r="C283" i="2"/>
  <c r="B283" i="2"/>
  <c r="G282" i="2"/>
  <c r="E282" i="2"/>
  <c r="C282" i="2"/>
  <c r="B282" i="2"/>
  <c r="G281" i="2"/>
  <c r="E281" i="2"/>
  <c r="C281" i="2"/>
  <c r="B281" i="2"/>
  <c r="G280" i="2"/>
  <c r="E280" i="2"/>
  <c r="C280" i="2"/>
  <c r="B280" i="2"/>
  <c r="G279" i="2"/>
  <c r="E279" i="2"/>
  <c r="C279" i="2"/>
  <c r="B279" i="2"/>
  <c r="G278" i="2"/>
  <c r="E278" i="2"/>
  <c r="C278" i="2"/>
  <c r="B278" i="2"/>
  <c r="G277" i="2"/>
  <c r="E277" i="2"/>
  <c r="C277" i="2"/>
  <c r="B277" i="2"/>
  <c r="G276" i="2"/>
  <c r="E276" i="2"/>
  <c r="C276" i="2"/>
  <c r="B276" i="2"/>
  <c r="G275" i="2"/>
  <c r="E275" i="2"/>
  <c r="C275" i="2"/>
  <c r="B275" i="2"/>
  <c r="G274" i="2"/>
  <c r="E274" i="2"/>
  <c r="C274" i="2"/>
  <c r="B274" i="2"/>
  <c r="G273" i="2"/>
  <c r="E273" i="2"/>
  <c r="C273" i="2"/>
  <c r="B273" i="2"/>
  <c r="G272" i="2"/>
  <c r="E272" i="2"/>
  <c r="C272" i="2"/>
  <c r="B272" i="2"/>
  <c r="G271" i="2"/>
  <c r="E271" i="2"/>
  <c r="C271" i="2"/>
  <c r="B271" i="2"/>
  <c r="G270" i="2"/>
  <c r="E270" i="2"/>
  <c r="C270" i="2"/>
  <c r="B270" i="2"/>
  <c r="G269" i="2"/>
  <c r="E269" i="2"/>
  <c r="C269" i="2"/>
  <c r="B269" i="2"/>
  <c r="G268" i="2"/>
  <c r="E268" i="2"/>
  <c r="C268" i="2"/>
  <c r="B268" i="2"/>
  <c r="G267" i="2"/>
  <c r="E267" i="2"/>
  <c r="C267" i="2"/>
  <c r="B267" i="2"/>
  <c r="G266" i="2"/>
  <c r="E266" i="2"/>
  <c r="C266" i="2"/>
  <c r="B266" i="2"/>
  <c r="G265" i="2"/>
  <c r="E265" i="2"/>
  <c r="C265" i="2"/>
  <c r="B265" i="2"/>
  <c r="G264" i="2"/>
  <c r="E264" i="2"/>
  <c r="C264" i="2"/>
  <c r="B264" i="2"/>
  <c r="G263" i="2"/>
  <c r="E263" i="2"/>
  <c r="C263" i="2"/>
  <c r="B263" i="2"/>
  <c r="G262" i="2"/>
  <c r="E262" i="2"/>
  <c r="C262" i="2"/>
  <c r="B262" i="2"/>
  <c r="G261" i="2"/>
  <c r="E261" i="2"/>
  <c r="C261" i="2"/>
  <c r="B261" i="2"/>
  <c r="G260" i="2"/>
  <c r="E260" i="2"/>
  <c r="C260" i="2"/>
  <c r="B260" i="2"/>
  <c r="G259" i="2"/>
  <c r="E259" i="2"/>
  <c r="C259" i="2"/>
  <c r="B259" i="2"/>
  <c r="G258" i="2"/>
  <c r="E258" i="2"/>
  <c r="C258" i="2"/>
  <c r="B258" i="2"/>
  <c r="G257" i="2"/>
  <c r="E257" i="2"/>
  <c r="C257" i="2"/>
  <c r="B257" i="2"/>
  <c r="G256" i="2"/>
  <c r="E256" i="2"/>
  <c r="C256" i="2"/>
  <c r="B256" i="2"/>
  <c r="G255" i="2"/>
  <c r="E255" i="2"/>
  <c r="C255" i="2"/>
  <c r="B255" i="2"/>
  <c r="G254" i="2"/>
  <c r="E254" i="2"/>
  <c r="C254" i="2"/>
  <c r="B254" i="2"/>
  <c r="G253" i="2"/>
  <c r="E253" i="2"/>
  <c r="C253" i="2"/>
  <c r="B253" i="2"/>
  <c r="G252" i="2"/>
  <c r="E252" i="2"/>
  <c r="C252" i="2"/>
  <c r="B252" i="2"/>
  <c r="G251" i="2"/>
  <c r="E251" i="2"/>
  <c r="C251" i="2"/>
  <c r="B251" i="2"/>
  <c r="G250" i="2"/>
  <c r="E250" i="2"/>
  <c r="C250" i="2"/>
  <c r="B250" i="2"/>
  <c r="G249" i="2"/>
  <c r="E249" i="2"/>
  <c r="C249" i="2"/>
  <c r="B249" i="2"/>
  <c r="G248" i="2"/>
  <c r="E248" i="2"/>
  <c r="C248" i="2"/>
  <c r="B248" i="2"/>
  <c r="G247" i="2"/>
  <c r="E247" i="2"/>
  <c r="C247" i="2"/>
  <c r="B247" i="2"/>
  <c r="G246" i="2"/>
  <c r="E246" i="2"/>
  <c r="C246" i="2"/>
  <c r="B246" i="2"/>
  <c r="G245" i="2"/>
  <c r="E245" i="2"/>
  <c r="C245" i="2"/>
  <c r="B245" i="2"/>
  <c r="G244" i="2"/>
  <c r="E244" i="2"/>
  <c r="C244" i="2"/>
  <c r="B244" i="2"/>
  <c r="G243" i="2"/>
  <c r="E243" i="2"/>
  <c r="C243" i="2"/>
  <c r="B243" i="2"/>
  <c r="G242" i="2"/>
  <c r="E242" i="2"/>
  <c r="C242" i="2"/>
  <c r="B242" i="2"/>
  <c r="G241" i="2"/>
  <c r="E241" i="2"/>
  <c r="C241" i="2"/>
  <c r="B241" i="2"/>
  <c r="G240" i="2"/>
  <c r="E240" i="2"/>
  <c r="C240" i="2"/>
  <c r="B240" i="2"/>
  <c r="G239" i="2"/>
  <c r="E239" i="2"/>
  <c r="C239" i="2"/>
  <c r="B239" i="2"/>
  <c r="G238" i="2"/>
  <c r="E238" i="2"/>
  <c r="C238" i="2"/>
  <c r="B238" i="2"/>
  <c r="G237" i="2"/>
  <c r="E237" i="2"/>
  <c r="C237" i="2"/>
  <c r="B237" i="2"/>
  <c r="G236" i="2"/>
  <c r="E236" i="2"/>
  <c r="C236" i="2"/>
  <c r="B236" i="2"/>
  <c r="G235" i="2"/>
  <c r="E235" i="2"/>
  <c r="C235" i="2"/>
  <c r="B235" i="2"/>
  <c r="G234" i="2"/>
  <c r="E234" i="2"/>
  <c r="C234" i="2"/>
  <c r="B234" i="2"/>
  <c r="G233" i="2"/>
  <c r="E233" i="2"/>
  <c r="C233" i="2"/>
  <c r="B233" i="2"/>
  <c r="G232" i="2"/>
  <c r="E232" i="2"/>
  <c r="C232" i="2"/>
  <c r="B232" i="2"/>
  <c r="G231" i="2"/>
  <c r="E231" i="2"/>
  <c r="C231" i="2"/>
  <c r="B231" i="2"/>
  <c r="G230" i="2"/>
  <c r="E230" i="2"/>
  <c r="C230" i="2"/>
  <c r="B230" i="2"/>
  <c r="G229" i="2"/>
  <c r="E229" i="2"/>
  <c r="C229" i="2"/>
  <c r="B229" i="2"/>
  <c r="G228" i="2"/>
  <c r="E228" i="2"/>
  <c r="C228" i="2"/>
  <c r="B228" i="2"/>
  <c r="G227" i="2"/>
  <c r="E227" i="2"/>
  <c r="C227" i="2"/>
  <c r="B227" i="2"/>
  <c r="G226" i="2"/>
  <c r="E226" i="2"/>
  <c r="C226" i="2"/>
  <c r="B226" i="2"/>
  <c r="G225" i="2"/>
  <c r="E225" i="2"/>
  <c r="C225" i="2"/>
  <c r="B225" i="2"/>
  <c r="G224" i="2"/>
  <c r="E224" i="2"/>
  <c r="C224" i="2"/>
  <c r="B224" i="2"/>
  <c r="G223" i="2"/>
  <c r="E223" i="2"/>
  <c r="C223" i="2"/>
  <c r="B223" i="2"/>
  <c r="G222" i="2"/>
  <c r="E222" i="2"/>
  <c r="C222" i="2"/>
  <c r="B222" i="2"/>
  <c r="G221" i="2"/>
  <c r="E221" i="2"/>
  <c r="C221" i="2"/>
  <c r="B221" i="2"/>
  <c r="G220" i="2"/>
  <c r="E220" i="2"/>
  <c r="C220" i="2"/>
  <c r="B220" i="2"/>
  <c r="G219" i="2"/>
  <c r="E219" i="2"/>
  <c r="C219" i="2"/>
  <c r="B219" i="2"/>
  <c r="G218" i="2"/>
  <c r="E218" i="2"/>
  <c r="C218" i="2"/>
  <c r="B218" i="2"/>
  <c r="G217" i="2"/>
  <c r="E217" i="2"/>
  <c r="C217" i="2"/>
  <c r="B217" i="2"/>
  <c r="G216" i="2"/>
  <c r="E216" i="2"/>
  <c r="C216" i="2"/>
  <c r="B216" i="2"/>
  <c r="G215" i="2"/>
  <c r="E215" i="2"/>
  <c r="C215" i="2"/>
  <c r="B215" i="2"/>
  <c r="G214" i="2"/>
  <c r="E214" i="2"/>
  <c r="C214" i="2"/>
  <c r="B214" i="2"/>
  <c r="G213" i="2"/>
  <c r="E213" i="2"/>
  <c r="C213" i="2"/>
  <c r="B213" i="2"/>
  <c r="G212" i="2"/>
  <c r="E212" i="2"/>
  <c r="C212" i="2"/>
  <c r="B212" i="2"/>
  <c r="G211" i="2"/>
  <c r="E211" i="2"/>
  <c r="C211" i="2"/>
  <c r="B211" i="2"/>
  <c r="G210" i="2"/>
  <c r="E210" i="2"/>
  <c r="C210" i="2"/>
  <c r="B210" i="2"/>
  <c r="G209" i="2"/>
  <c r="E209" i="2"/>
  <c r="C209" i="2"/>
  <c r="B209" i="2"/>
  <c r="G208" i="2"/>
  <c r="E208" i="2"/>
  <c r="C208" i="2"/>
  <c r="B208" i="2"/>
  <c r="G207" i="2"/>
  <c r="E207" i="2"/>
  <c r="C207" i="2"/>
  <c r="B207" i="2"/>
  <c r="G206" i="2"/>
  <c r="E206" i="2"/>
  <c r="C206" i="2"/>
  <c r="B206" i="2"/>
  <c r="G205" i="2"/>
  <c r="E205" i="2"/>
  <c r="C205" i="2"/>
  <c r="B205" i="2"/>
  <c r="G204" i="2"/>
  <c r="E204" i="2"/>
  <c r="C204" i="2"/>
  <c r="B204" i="2"/>
  <c r="G203" i="2"/>
  <c r="E203" i="2"/>
  <c r="C203" i="2"/>
  <c r="B203" i="2"/>
  <c r="G202" i="2"/>
  <c r="E202" i="2"/>
  <c r="C202" i="2"/>
  <c r="B202" i="2"/>
  <c r="G201" i="2"/>
  <c r="E201" i="2"/>
  <c r="C201" i="2"/>
  <c r="B201" i="2"/>
  <c r="G200" i="2"/>
  <c r="E200" i="2"/>
  <c r="C200" i="2"/>
  <c r="B200" i="2"/>
  <c r="G199" i="2"/>
  <c r="E199" i="2"/>
  <c r="C199" i="2"/>
  <c r="B199" i="2"/>
  <c r="G198" i="2"/>
  <c r="E198" i="2"/>
  <c r="C198" i="2"/>
  <c r="B198" i="2"/>
  <c r="G197" i="2"/>
  <c r="E197" i="2"/>
  <c r="C197" i="2"/>
  <c r="B197" i="2"/>
  <c r="G196" i="2"/>
  <c r="E196" i="2"/>
  <c r="C196" i="2"/>
  <c r="B196" i="2"/>
  <c r="G195" i="2"/>
  <c r="E195" i="2"/>
  <c r="C195" i="2"/>
  <c r="B195" i="2"/>
  <c r="G194" i="2"/>
  <c r="E194" i="2"/>
  <c r="C194" i="2"/>
  <c r="B194" i="2"/>
  <c r="G193" i="2"/>
  <c r="E193" i="2"/>
  <c r="C193" i="2"/>
  <c r="B193" i="2"/>
  <c r="G192" i="2"/>
  <c r="E192" i="2"/>
  <c r="C192" i="2"/>
  <c r="B192" i="2"/>
  <c r="G191" i="2"/>
  <c r="E191" i="2"/>
  <c r="C191" i="2"/>
  <c r="B191" i="2"/>
  <c r="G190" i="2"/>
  <c r="E190" i="2"/>
  <c r="C190" i="2"/>
  <c r="B190" i="2"/>
  <c r="G189" i="2"/>
  <c r="E189" i="2"/>
  <c r="C189" i="2"/>
  <c r="B189" i="2"/>
  <c r="G188" i="2"/>
  <c r="E188" i="2"/>
  <c r="C188" i="2"/>
  <c r="B188" i="2"/>
  <c r="G187" i="2"/>
  <c r="E187" i="2"/>
  <c r="C187" i="2"/>
  <c r="B187" i="2"/>
  <c r="G186" i="2"/>
  <c r="E186" i="2"/>
  <c r="C186" i="2"/>
  <c r="B186" i="2"/>
  <c r="G185" i="2"/>
  <c r="E185" i="2"/>
  <c r="C185" i="2"/>
  <c r="B185" i="2"/>
  <c r="G184" i="2"/>
  <c r="E184" i="2"/>
  <c r="C184" i="2"/>
  <c r="B184" i="2"/>
  <c r="G183" i="2"/>
  <c r="E183" i="2"/>
  <c r="C183" i="2"/>
  <c r="B183" i="2"/>
  <c r="G182" i="2"/>
  <c r="E182" i="2"/>
  <c r="C182" i="2"/>
  <c r="B182" i="2"/>
  <c r="G181" i="2"/>
  <c r="E181" i="2"/>
  <c r="C181" i="2"/>
  <c r="B181" i="2"/>
  <c r="G180" i="2"/>
  <c r="E180" i="2"/>
  <c r="C180" i="2"/>
  <c r="B180" i="2"/>
  <c r="G179" i="2"/>
  <c r="E179" i="2"/>
  <c r="C179" i="2"/>
  <c r="B179" i="2"/>
  <c r="G178" i="2"/>
  <c r="E178" i="2"/>
  <c r="C178" i="2"/>
  <c r="B178" i="2"/>
  <c r="G177" i="2"/>
  <c r="E177" i="2"/>
  <c r="C177" i="2"/>
  <c r="B177" i="2"/>
  <c r="G176" i="2"/>
  <c r="E176" i="2"/>
  <c r="C176" i="2"/>
  <c r="B176" i="2"/>
  <c r="G175" i="2"/>
  <c r="E175" i="2"/>
  <c r="C175" i="2"/>
  <c r="B175" i="2"/>
  <c r="G174" i="2"/>
  <c r="E174" i="2"/>
  <c r="C174" i="2"/>
  <c r="B174" i="2"/>
  <c r="G173" i="2"/>
  <c r="E173" i="2"/>
  <c r="C173" i="2"/>
  <c r="B173" i="2"/>
  <c r="G172" i="2"/>
  <c r="E172" i="2"/>
  <c r="C172" i="2"/>
  <c r="B172" i="2"/>
  <c r="G171" i="2"/>
  <c r="E171" i="2"/>
  <c r="C171" i="2"/>
  <c r="B171" i="2"/>
  <c r="G170" i="2"/>
  <c r="E170" i="2"/>
  <c r="C170" i="2"/>
  <c r="B170" i="2"/>
  <c r="G169" i="2"/>
  <c r="E169" i="2"/>
  <c r="C169" i="2"/>
  <c r="B169" i="2"/>
  <c r="G168" i="2"/>
  <c r="E168" i="2"/>
  <c r="C168" i="2"/>
  <c r="B168" i="2"/>
  <c r="G167" i="2"/>
  <c r="E167" i="2"/>
  <c r="C167" i="2"/>
  <c r="B167" i="2"/>
  <c r="G166" i="2"/>
  <c r="E166" i="2"/>
  <c r="C166" i="2"/>
  <c r="B166" i="2"/>
  <c r="G165" i="2"/>
  <c r="E165" i="2"/>
  <c r="C165" i="2"/>
  <c r="B165" i="2"/>
  <c r="G164" i="2"/>
  <c r="E164" i="2"/>
  <c r="C164" i="2"/>
  <c r="B164" i="2"/>
  <c r="G163" i="2"/>
  <c r="E163" i="2"/>
  <c r="C163" i="2"/>
  <c r="B163" i="2"/>
  <c r="G162" i="2"/>
  <c r="E162" i="2"/>
  <c r="C162" i="2"/>
  <c r="B162" i="2"/>
  <c r="G161" i="2"/>
  <c r="E161" i="2"/>
  <c r="C161" i="2"/>
  <c r="B161" i="2"/>
  <c r="G160" i="2"/>
  <c r="E160" i="2"/>
  <c r="C160" i="2"/>
  <c r="B160" i="2"/>
  <c r="G159" i="2"/>
  <c r="E159" i="2"/>
  <c r="C159" i="2"/>
  <c r="B159" i="2"/>
  <c r="G158" i="2"/>
  <c r="E158" i="2"/>
  <c r="C158" i="2"/>
  <c r="B158" i="2"/>
  <c r="G157" i="2"/>
  <c r="E157" i="2"/>
  <c r="C157" i="2"/>
  <c r="B157" i="2"/>
  <c r="G156" i="2"/>
  <c r="E156" i="2"/>
  <c r="C156" i="2"/>
  <c r="B156" i="2"/>
  <c r="G155" i="2"/>
  <c r="E155" i="2"/>
  <c r="C155" i="2"/>
  <c r="B155" i="2"/>
  <c r="G154" i="2"/>
  <c r="E154" i="2"/>
  <c r="C154" i="2"/>
  <c r="B154" i="2"/>
  <c r="G153" i="2"/>
  <c r="E153" i="2"/>
  <c r="C153" i="2"/>
  <c r="B153" i="2"/>
  <c r="G152" i="2"/>
  <c r="E152" i="2"/>
  <c r="C152" i="2"/>
  <c r="B152" i="2"/>
  <c r="G151" i="2"/>
  <c r="E151" i="2"/>
  <c r="C151" i="2"/>
  <c r="B151" i="2"/>
  <c r="G150" i="2"/>
  <c r="E150" i="2"/>
  <c r="C150" i="2"/>
  <c r="B150" i="2"/>
  <c r="G149" i="2"/>
  <c r="E149" i="2"/>
  <c r="C149" i="2"/>
  <c r="B149" i="2"/>
  <c r="G148" i="2"/>
  <c r="E148" i="2"/>
  <c r="C148" i="2"/>
  <c r="B148" i="2"/>
  <c r="G147" i="2"/>
  <c r="E147" i="2"/>
  <c r="C147" i="2"/>
  <c r="B147" i="2"/>
  <c r="G146" i="2"/>
  <c r="E146" i="2"/>
  <c r="C146" i="2"/>
  <c r="B146" i="2"/>
  <c r="G145" i="2"/>
  <c r="E145" i="2"/>
  <c r="C145" i="2"/>
  <c r="B145" i="2"/>
  <c r="G144" i="2"/>
  <c r="E144" i="2"/>
  <c r="C144" i="2"/>
  <c r="B144" i="2"/>
  <c r="G143" i="2"/>
  <c r="E143" i="2"/>
  <c r="C143" i="2"/>
  <c r="B143" i="2"/>
  <c r="G142" i="2"/>
  <c r="E142" i="2"/>
  <c r="C142" i="2"/>
  <c r="B142" i="2"/>
  <c r="G141" i="2"/>
  <c r="E141" i="2"/>
  <c r="C141" i="2"/>
  <c r="B141" i="2"/>
  <c r="G140" i="2"/>
  <c r="E140" i="2"/>
  <c r="C140" i="2"/>
  <c r="B140" i="2"/>
  <c r="G139" i="2"/>
  <c r="E139" i="2"/>
  <c r="C139" i="2"/>
  <c r="B139" i="2"/>
  <c r="G138" i="2"/>
  <c r="E138" i="2"/>
  <c r="C138" i="2"/>
  <c r="B138" i="2"/>
  <c r="G137" i="2"/>
  <c r="E137" i="2"/>
  <c r="C137" i="2"/>
  <c r="B137" i="2"/>
  <c r="G136" i="2"/>
  <c r="E136" i="2"/>
  <c r="C136" i="2"/>
  <c r="B136" i="2"/>
  <c r="G135" i="2"/>
  <c r="E135" i="2"/>
  <c r="C135" i="2"/>
  <c r="B135" i="2"/>
  <c r="G134" i="2"/>
  <c r="E134" i="2"/>
  <c r="C134" i="2"/>
  <c r="B134" i="2"/>
  <c r="G133" i="2"/>
  <c r="E133" i="2"/>
  <c r="C133" i="2"/>
  <c r="B133" i="2"/>
  <c r="G132" i="2"/>
  <c r="E132" i="2"/>
  <c r="C132" i="2"/>
  <c r="B132" i="2"/>
  <c r="G131" i="2"/>
  <c r="E131" i="2"/>
  <c r="C131" i="2"/>
  <c r="B131" i="2"/>
  <c r="G130" i="2"/>
  <c r="E130" i="2"/>
  <c r="C130" i="2"/>
  <c r="B130" i="2"/>
  <c r="G129" i="2"/>
  <c r="E129" i="2"/>
  <c r="C129" i="2"/>
  <c r="B129" i="2"/>
  <c r="G128" i="2"/>
  <c r="E128" i="2"/>
  <c r="C128" i="2"/>
  <c r="B128" i="2"/>
  <c r="G127" i="2"/>
  <c r="E127" i="2"/>
  <c r="C127" i="2"/>
  <c r="B127" i="2"/>
  <c r="G126" i="2"/>
  <c r="E126" i="2"/>
  <c r="C126" i="2"/>
  <c r="B126" i="2"/>
  <c r="G125" i="2"/>
  <c r="E125" i="2"/>
  <c r="C125" i="2"/>
  <c r="B125" i="2"/>
  <c r="G124" i="2"/>
  <c r="E124" i="2"/>
  <c r="C124" i="2"/>
  <c r="B124" i="2"/>
  <c r="G123" i="2"/>
  <c r="E123" i="2"/>
  <c r="C123" i="2"/>
  <c r="B123" i="2"/>
  <c r="G122" i="2"/>
  <c r="E122" i="2"/>
  <c r="C122" i="2"/>
  <c r="B122" i="2"/>
  <c r="G121" i="2"/>
  <c r="E121" i="2"/>
  <c r="C121" i="2"/>
  <c r="B121" i="2"/>
  <c r="G120" i="2"/>
  <c r="E120" i="2"/>
  <c r="C120" i="2"/>
  <c r="B120" i="2"/>
  <c r="G119" i="2"/>
  <c r="E119" i="2"/>
  <c r="C119" i="2"/>
  <c r="B119" i="2"/>
  <c r="G118" i="2"/>
  <c r="E118" i="2"/>
  <c r="C118" i="2"/>
  <c r="B118" i="2"/>
  <c r="G117" i="2"/>
  <c r="E117" i="2"/>
  <c r="C117" i="2"/>
  <c r="B117" i="2"/>
  <c r="G116" i="2"/>
  <c r="E116" i="2"/>
  <c r="C116" i="2"/>
  <c r="B116" i="2"/>
  <c r="G115" i="2"/>
  <c r="E115" i="2"/>
  <c r="C115" i="2"/>
  <c r="B115" i="2"/>
  <c r="G114" i="2"/>
  <c r="E114" i="2"/>
  <c r="C114" i="2"/>
  <c r="B114" i="2"/>
  <c r="G113" i="2"/>
  <c r="E113" i="2"/>
  <c r="C113" i="2"/>
  <c r="B113" i="2"/>
  <c r="G112" i="2"/>
  <c r="E112" i="2"/>
  <c r="C112" i="2"/>
  <c r="B112" i="2"/>
  <c r="G111" i="2"/>
  <c r="E111" i="2"/>
  <c r="C111" i="2"/>
  <c r="B111" i="2"/>
  <c r="G110" i="2"/>
  <c r="E110" i="2"/>
  <c r="C110" i="2"/>
  <c r="B110" i="2"/>
  <c r="G109" i="2"/>
  <c r="E109" i="2"/>
  <c r="C109" i="2"/>
  <c r="B109" i="2"/>
  <c r="G108" i="2"/>
  <c r="E108" i="2"/>
  <c r="C108" i="2"/>
  <c r="B108" i="2"/>
  <c r="G107" i="2"/>
  <c r="E107" i="2"/>
  <c r="C107" i="2"/>
  <c r="B107" i="2"/>
  <c r="G106" i="2"/>
  <c r="E106" i="2"/>
  <c r="C106" i="2"/>
  <c r="B106" i="2"/>
  <c r="G105" i="2"/>
  <c r="E105" i="2"/>
  <c r="C105" i="2"/>
  <c r="B105" i="2"/>
  <c r="G104" i="2"/>
  <c r="E104" i="2"/>
  <c r="C104" i="2"/>
  <c r="B104" i="2"/>
  <c r="G103" i="2"/>
  <c r="E103" i="2"/>
  <c r="C103" i="2"/>
  <c r="B103" i="2"/>
  <c r="G102" i="2"/>
  <c r="E102" i="2"/>
  <c r="C102" i="2"/>
  <c r="B102" i="2"/>
  <c r="G101" i="2"/>
  <c r="E101" i="2"/>
  <c r="C101" i="2"/>
  <c r="B101" i="2"/>
  <c r="G100" i="2"/>
  <c r="E100" i="2"/>
  <c r="C100" i="2"/>
  <c r="B100" i="2"/>
  <c r="G99" i="2"/>
  <c r="E99" i="2"/>
  <c r="C99" i="2"/>
  <c r="B99" i="2"/>
  <c r="G98" i="2"/>
  <c r="E98" i="2"/>
  <c r="C98" i="2"/>
  <c r="B98" i="2"/>
  <c r="G97" i="2"/>
  <c r="E97" i="2"/>
  <c r="C97" i="2"/>
  <c r="B97" i="2"/>
  <c r="G96" i="2"/>
  <c r="E96" i="2"/>
  <c r="C96" i="2"/>
  <c r="B96" i="2"/>
  <c r="G95" i="2"/>
  <c r="E95" i="2"/>
  <c r="C95" i="2"/>
  <c r="B95" i="2"/>
  <c r="G94" i="2"/>
  <c r="E94" i="2"/>
  <c r="C94" i="2"/>
  <c r="B94" i="2"/>
  <c r="G93" i="2"/>
  <c r="E93" i="2"/>
  <c r="C93" i="2"/>
  <c r="B93" i="2"/>
  <c r="G92" i="2"/>
  <c r="E92" i="2"/>
  <c r="C92" i="2"/>
  <c r="B92" i="2"/>
  <c r="G91" i="2"/>
  <c r="E91" i="2"/>
  <c r="C91" i="2"/>
  <c r="B91" i="2"/>
  <c r="G90" i="2"/>
  <c r="E90" i="2"/>
  <c r="C90" i="2"/>
  <c r="B90" i="2"/>
  <c r="G89" i="2"/>
  <c r="E89" i="2"/>
  <c r="C89" i="2"/>
  <c r="B89" i="2"/>
  <c r="G88" i="2"/>
  <c r="E88" i="2"/>
  <c r="C88" i="2"/>
  <c r="B88" i="2"/>
  <c r="G87" i="2"/>
  <c r="E87" i="2"/>
  <c r="C87" i="2"/>
  <c r="B87" i="2"/>
  <c r="G86" i="2"/>
  <c r="E86" i="2"/>
  <c r="C86" i="2"/>
  <c r="B86" i="2"/>
  <c r="G85" i="2"/>
  <c r="E85" i="2"/>
  <c r="C85" i="2"/>
  <c r="B85" i="2"/>
  <c r="G84" i="2"/>
  <c r="E84" i="2"/>
  <c r="C84" i="2"/>
  <c r="B84" i="2"/>
  <c r="G83" i="2"/>
  <c r="E83" i="2"/>
  <c r="C83" i="2"/>
  <c r="B83" i="2"/>
  <c r="G82" i="2"/>
  <c r="E82" i="2"/>
  <c r="C82" i="2"/>
  <c r="B82" i="2"/>
  <c r="G81" i="2"/>
  <c r="E81" i="2"/>
  <c r="C81" i="2"/>
  <c r="B81" i="2"/>
  <c r="G80" i="2"/>
  <c r="E80" i="2"/>
  <c r="C80" i="2"/>
  <c r="B80" i="2"/>
  <c r="G79" i="2"/>
  <c r="E79" i="2"/>
  <c r="C79" i="2"/>
  <c r="B79" i="2"/>
  <c r="G78" i="2"/>
  <c r="E78" i="2"/>
  <c r="C78" i="2"/>
  <c r="B78" i="2"/>
  <c r="G77" i="2"/>
  <c r="E77" i="2"/>
  <c r="C77" i="2"/>
  <c r="B77" i="2"/>
  <c r="G76" i="2"/>
  <c r="E76" i="2"/>
  <c r="C76" i="2"/>
  <c r="B76" i="2"/>
  <c r="G75" i="2"/>
  <c r="E75" i="2"/>
  <c r="C75" i="2"/>
  <c r="B75" i="2"/>
  <c r="G74" i="2"/>
  <c r="E74" i="2"/>
  <c r="C74" i="2"/>
  <c r="B74" i="2"/>
  <c r="G73" i="2"/>
  <c r="E73" i="2"/>
  <c r="C73" i="2"/>
  <c r="B73" i="2"/>
  <c r="G72" i="2"/>
  <c r="E72" i="2"/>
  <c r="C72" i="2"/>
  <c r="B72" i="2"/>
  <c r="G71" i="2"/>
  <c r="E71" i="2"/>
  <c r="C71" i="2"/>
  <c r="B71" i="2"/>
  <c r="G70" i="2"/>
  <c r="E70" i="2"/>
  <c r="C70" i="2"/>
  <c r="B70" i="2"/>
  <c r="G69" i="2"/>
  <c r="E69" i="2"/>
  <c r="C69" i="2"/>
  <c r="B69" i="2"/>
  <c r="G68" i="2"/>
  <c r="E68" i="2"/>
  <c r="C68" i="2"/>
  <c r="B68" i="2"/>
  <c r="G67" i="2"/>
  <c r="E67" i="2"/>
  <c r="C67" i="2"/>
  <c r="B67" i="2"/>
  <c r="G66" i="2"/>
  <c r="E66" i="2"/>
  <c r="C66" i="2"/>
  <c r="B66" i="2"/>
  <c r="G65" i="2"/>
  <c r="E65" i="2"/>
  <c r="C65" i="2"/>
  <c r="B65" i="2"/>
  <c r="G64" i="2"/>
  <c r="E64" i="2"/>
  <c r="C64" i="2"/>
  <c r="B64" i="2"/>
  <c r="G63" i="2"/>
  <c r="E63" i="2"/>
  <c r="C63" i="2"/>
  <c r="B63" i="2"/>
  <c r="G62" i="2"/>
  <c r="E62" i="2"/>
  <c r="C62" i="2"/>
  <c r="B62" i="2"/>
  <c r="G61" i="2"/>
  <c r="E61" i="2"/>
  <c r="C61" i="2"/>
  <c r="B61" i="2"/>
  <c r="G60" i="2"/>
  <c r="E60" i="2"/>
  <c r="C60" i="2"/>
  <c r="B60" i="2"/>
  <c r="G59" i="2"/>
  <c r="E59" i="2"/>
  <c r="C59" i="2"/>
  <c r="B59" i="2"/>
  <c r="G58" i="2"/>
  <c r="E58" i="2"/>
  <c r="C58" i="2"/>
  <c r="B58" i="2"/>
  <c r="G57" i="2"/>
  <c r="E57" i="2"/>
  <c r="C57" i="2"/>
  <c r="B57" i="2"/>
  <c r="G56" i="2"/>
  <c r="E56" i="2"/>
  <c r="C56" i="2"/>
  <c r="B56" i="2"/>
  <c r="G55" i="2"/>
  <c r="E55" i="2"/>
  <c r="C55" i="2"/>
  <c r="B55" i="2"/>
  <c r="G54" i="2"/>
  <c r="E54" i="2"/>
  <c r="C54" i="2"/>
  <c r="B54" i="2"/>
  <c r="G53" i="2"/>
  <c r="E53" i="2"/>
  <c r="C53" i="2"/>
  <c r="B53" i="2"/>
  <c r="G52" i="2"/>
  <c r="E52" i="2"/>
  <c r="C52" i="2"/>
  <c r="B52" i="2"/>
  <c r="G51" i="2"/>
  <c r="E51" i="2"/>
  <c r="C51" i="2"/>
  <c r="B51" i="2"/>
  <c r="G50" i="2"/>
  <c r="E50" i="2"/>
  <c r="C50" i="2"/>
  <c r="B50" i="2"/>
  <c r="G49" i="2"/>
  <c r="E49" i="2"/>
  <c r="C49" i="2"/>
  <c r="B49" i="2"/>
  <c r="G48" i="2"/>
  <c r="E48" i="2"/>
  <c r="C48" i="2"/>
  <c r="B48" i="2"/>
  <c r="G47" i="2"/>
  <c r="E47" i="2"/>
  <c r="C47" i="2"/>
  <c r="B47" i="2"/>
  <c r="G46" i="2"/>
  <c r="E46" i="2"/>
  <c r="C46" i="2"/>
  <c r="B46" i="2"/>
  <c r="G45" i="2"/>
  <c r="E45" i="2"/>
  <c r="C45" i="2"/>
  <c r="B45" i="2"/>
  <c r="G44" i="2"/>
  <c r="E44" i="2"/>
  <c r="C44" i="2"/>
  <c r="B44" i="2"/>
  <c r="G43" i="2"/>
  <c r="E43" i="2"/>
  <c r="C43" i="2"/>
  <c r="B43" i="2"/>
  <c r="G42" i="2"/>
  <c r="E42" i="2"/>
  <c r="C42" i="2"/>
  <c r="B42" i="2"/>
  <c r="G41" i="2"/>
  <c r="E41" i="2"/>
  <c r="C41" i="2"/>
  <c r="B41" i="2"/>
  <c r="G40" i="2"/>
  <c r="E40" i="2"/>
  <c r="C40" i="2"/>
  <c r="B40" i="2"/>
  <c r="G39" i="2"/>
  <c r="E39" i="2"/>
  <c r="C39" i="2"/>
  <c r="B39" i="2"/>
  <c r="G38" i="2"/>
  <c r="E38" i="2"/>
  <c r="C38" i="2"/>
  <c r="B38" i="2"/>
  <c r="G37" i="2"/>
  <c r="E37" i="2"/>
  <c r="C37" i="2"/>
  <c r="B37" i="2"/>
  <c r="G36" i="2"/>
  <c r="E36" i="2"/>
  <c r="C36" i="2"/>
  <c r="B36" i="2"/>
  <c r="G35" i="2"/>
  <c r="E35" i="2"/>
  <c r="C35" i="2"/>
  <c r="B35" i="2"/>
  <c r="G34" i="2"/>
  <c r="E34" i="2"/>
  <c r="C34" i="2"/>
  <c r="B34" i="2"/>
  <c r="G33" i="2"/>
  <c r="E33" i="2"/>
  <c r="C33" i="2"/>
  <c r="B33" i="2"/>
  <c r="G32" i="2"/>
  <c r="E32" i="2"/>
  <c r="C32" i="2"/>
  <c r="B32" i="2"/>
  <c r="G31" i="2"/>
  <c r="E31" i="2"/>
  <c r="C31" i="2"/>
  <c r="B31" i="2"/>
  <c r="G30" i="2"/>
  <c r="E30" i="2"/>
  <c r="C30" i="2"/>
  <c r="B30" i="2"/>
  <c r="G29" i="2"/>
  <c r="E29" i="2"/>
  <c r="C29" i="2"/>
  <c r="B29" i="2"/>
  <c r="G28" i="2"/>
  <c r="E28" i="2"/>
  <c r="C28" i="2"/>
  <c r="B28" i="2"/>
  <c r="G27" i="2"/>
  <c r="E27" i="2"/>
  <c r="C27" i="2"/>
  <c r="B27" i="2"/>
  <c r="G26" i="2"/>
  <c r="E26" i="2"/>
  <c r="C26" i="2"/>
  <c r="B26" i="2"/>
  <c r="G25" i="2"/>
  <c r="E25" i="2"/>
  <c r="C25" i="2"/>
  <c r="B25" i="2"/>
  <c r="G24" i="2"/>
  <c r="E24" i="2"/>
  <c r="C24" i="2"/>
  <c r="B24" i="2"/>
  <c r="G23" i="2"/>
  <c r="E23" i="2"/>
  <c r="C23" i="2"/>
  <c r="B23" i="2"/>
  <c r="G22" i="2"/>
  <c r="E22" i="2"/>
  <c r="C22" i="2"/>
  <c r="B22" i="2"/>
  <c r="G21" i="2"/>
  <c r="E21" i="2"/>
  <c r="C21" i="2"/>
  <c r="B21" i="2"/>
  <c r="G20" i="2"/>
  <c r="E20" i="2"/>
  <c r="C20" i="2"/>
  <c r="B20" i="2"/>
  <c r="G19" i="2"/>
  <c r="E19" i="2"/>
  <c r="C19" i="2"/>
  <c r="B19" i="2"/>
  <c r="G18" i="2"/>
  <c r="E18" i="2"/>
  <c r="C18" i="2"/>
  <c r="B18" i="2"/>
  <c r="G17" i="2"/>
  <c r="E17" i="2"/>
  <c r="C17" i="2"/>
  <c r="B17" i="2"/>
  <c r="G16" i="2"/>
  <c r="E16" i="2"/>
  <c r="C16" i="2"/>
  <c r="B16" i="2"/>
  <c r="G15" i="2"/>
  <c r="E15" i="2"/>
  <c r="C15" i="2"/>
  <c r="B15" i="2"/>
  <c r="G14" i="2"/>
  <c r="E14" i="2"/>
  <c r="C14" i="2"/>
  <c r="B14" i="2"/>
  <c r="G13" i="2"/>
  <c r="E13" i="2"/>
  <c r="C13" i="2"/>
  <c r="B13" i="2"/>
  <c r="G12" i="2"/>
  <c r="E12" i="2"/>
  <c r="C12" i="2"/>
  <c r="B12" i="2"/>
  <c r="G11" i="2"/>
  <c r="E11" i="2"/>
  <c r="C11" i="2"/>
  <c r="B11" i="2"/>
  <c r="G10" i="2"/>
  <c r="E10" i="2"/>
  <c r="C10" i="2"/>
  <c r="B10" i="2"/>
  <c r="G9" i="2"/>
  <c r="E9" i="2"/>
  <c r="C9" i="2"/>
  <c r="B9" i="2"/>
  <c r="G8" i="2"/>
  <c r="E8" i="2"/>
  <c r="C8" i="2"/>
  <c r="B8" i="2"/>
  <c r="G7" i="2"/>
  <c r="E7" i="2"/>
  <c r="C7" i="2"/>
  <c r="B7" i="2"/>
  <c r="G6" i="2"/>
  <c r="E6" i="2"/>
  <c r="C6" i="2"/>
  <c r="B6" i="2"/>
  <c r="G5" i="2"/>
  <c r="E5" i="2"/>
  <c r="C5" i="2"/>
  <c r="B5" i="2"/>
  <c r="G4" i="2"/>
  <c r="E4" i="2"/>
  <c r="C4" i="2"/>
  <c r="B4" i="2"/>
  <c r="G3" i="2"/>
  <c r="E3" i="2"/>
  <c r="C3" i="2"/>
  <c r="B3" i="2"/>
  <c r="G2" i="2"/>
  <c r="E2" i="2"/>
  <c r="C2" i="2"/>
  <c r="B2" i="2"/>
  <c r="X4" i="4" l="1"/>
  <c r="N4" i="4"/>
  <c r="I5" i="4"/>
  <c r="B5" i="4"/>
  <c r="W7" i="4"/>
  <c r="X6" i="4"/>
  <c r="A7" i="4"/>
  <c r="F6" i="4"/>
  <c r="B6" i="4"/>
  <c r="H6" i="4"/>
  <c r="D6" i="4"/>
  <c r="G6" i="4"/>
  <c r="C6" i="4"/>
  <c r="C4" i="4"/>
  <c r="J4" i="4" s="1"/>
  <c r="F5" i="4"/>
  <c r="E6" i="4"/>
  <c r="M5" i="4"/>
  <c r="X5" i="4"/>
  <c r="Y5" i="4" s="1"/>
  <c r="N8" i="4"/>
  <c r="N11" i="4"/>
  <c r="E5" i="4"/>
  <c r="I7" i="4" l="1"/>
  <c r="E7" i="4"/>
  <c r="G7" i="4"/>
  <c r="C7" i="4"/>
  <c r="A8" i="4"/>
  <c r="F7" i="4"/>
  <c r="B7" i="4"/>
  <c r="H7" i="4"/>
  <c r="D7" i="4"/>
  <c r="J5" i="4"/>
  <c r="J6" i="4"/>
  <c r="Y6" i="4"/>
  <c r="R9" i="4"/>
  <c r="R5" i="4"/>
  <c r="R11" i="4"/>
  <c r="R8" i="4"/>
  <c r="R7" i="4"/>
  <c r="N12" i="4"/>
  <c r="R10" i="4"/>
  <c r="R6" i="4"/>
  <c r="R4" i="4"/>
  <c r="O11" i="4"/>
  <c r="W8" i="4"/>
  <c r="X7" i="4"/>
  <c r="Y7" i="4" s="1"/>
  <c r="U9" i="4" l="1"/>
  <c r="T9" i="4"/>
  <c r="S9" i="4"/>
  <c r="U10" i="4"/>
  <c r="T10" i="4"/>
  <c r="S10" i="4"/>
  <c r="O5" i="4"/>
  <c r="O9" i="4"/>
  <c r="O7" i="4"/>
  <c r="O6" i="4"/>
  <c r="O10" i="4"/>
  <c r="O4" i="4"/>
  <c r="J7" i="4"/>
  <c r="U4" i="4"/>
  <c r="S4" i="4"/>
  <c r="T4" i="4"/>
  <c r="T7" i="4"/>
  <c r="S7" i="4"/>
  <c r="U7" i="4"/>
  <c r="T5" i="4"/>
  <c r="S5" i="4"/>
  <c r="U5" i="4"/>
  <c r="H8" i="4"/>
  <c r="D8" i="4"/>
  <c r="G8" i="4"/>
  <c r="C8" i="4"/>
  <c r="A9" i="4"/>
  <c r="F8" i="4"/>
  <c r="B8" i="4"/>
  <c r="I8" i="4"/>
  <c r="E8" i="4"/>
  <c r="U6" i="4"/>
  <c r="S6" i="4"/>
  <c r="T6" i="4"/>
  <c r="S8" i="4"/>
  <c r="U8" i="4"/>
  <c r="T8" i="4"/>
  <c r="W9" i="4"/>
  <c r="X9" i="4" s="1"/>
  <c r="X8" i="4"/>
  <c r="Y8" i="4" s="1"/>
  <c r="S11" i="4"/>
  <c r="U11" i="4"/>
  <c r="T11" i="4"/>
  <c r="O8" i="4"/>
  <c r="J8" i="4" l="1"/>
  <c r="O12" i="4"/>
  <c r="G9" i="4"/>
  <c r="C9" i="4"/>
  <c r="A10" i="4"/>
  <c r="F9" i="4"/>
  <c r="B9" i="4"/>
  <c r="I9" i="4"/>
  <c r="E9" i="4"/>
  <c r="H9" i="4"/>
  <c r="D9" i="4"/>
  <c r="Y9" i="4"/>
  <c r="F10" i="4" l="1"/>
  <c r="B10" i="4"/>
  <c r="I10" i="4"/>
  <c r="E10" i="4"/>
  <c r="H10" i="4"/>
  <c r="D10" i="4"/>
  <c r="A11" i="4"/>
  <c r="G10" i="4"/>
  <c r="C10" i="4"/>
  <c r="J9" i="4"/>
  <c r="H11" i="4" l="1"/>
  <c r="D11" i="4"/>
  <c r="A12" i="4"/>
  <c r="G11" i="4"/>
  <c r="C11" i="4"/>
  <c r="F11" i="4"/>
  <c r="B11" i="4"/>
  <c r="I11" i="4"/>
  <c r="E11" i="4"/>
  <c r="J10" i="4"/>
  <c r="J11" i="4" l="1"/>
  <c r="F12" i="4"/>
  <c r="B12" i="4"/>
  <c r="A13" i="4"/>
  <c r="I12" i="4"/>
  <c r="E12" i="4"/>
  <c r="H12" i="4"/>
  <c r="D12" i="4"/>
  <c r="G12" i="4"/>
  <c r="C12" i="4"/>
  <c r="F13" i="4" l="1"/>
  <c r="B13" i="4"/>
  <c r="I13" i="4"/>
  <c r="E13" i="4"/>
  <c r="H13" i="4"/>
  <c r="D13" i="4"/>
  <c r="A14" i="4"/>
  <c r="G13" i="4"/>
  <c r="C13" i="4"/>
  <c r="J12" i="4"/>
  <c r="H14" i="4" l="1"/>
  <c r="D14" i="4"/>
  <c r="A15" i="4"/>
  <c r="G14" i="4"/>
  <c r="C14" i="4"/>
  <c r="F14" i="4"/>
  <c r="B14" i="4"/>
  <c r="I14" i="4"/>
  <c r="E14" i="4"/>
  <c r="J13" i="4"/>
  <c r="J14" i="4" l="1"/>
  <c r="F15" i="4"/>
  <c r="B15" i="4"/>
  <c r="I15" i="4"/>
  <c r="E15" i="4"/>
  <c r="H15" i="4"/>
  <c r="D15" i="4"/>
  <c r="A16" i="4"/>
  <c r="G15" i="4"/>
  <c r="C15" i="4"/>
  <c r="H16" i="4" l="1"/>
  <c r="D16" i="4"/>
  <c r="A17" i="4"/>
  <c r="G16" i="4"/>
  <c r="C16" i="4"/>
  <c r="F16" i="4"/>
  <c r="B16" i="4"/>
  <c r="I16" i="4"/>
  <c r="E16" i="4"/>
  <c r="J15" i="4"/>
  <c r="J16" i="4" l="1"/>
  <c r="F17" i="4"/>
  <c r="B17" i="4"/>
  <c r="I17" i="4"/>
  <c r="E17" i="4"/>
  <c r="H17" i="4"/>
  <c r="D17" i="4"/>
  <c r="A18" i="4"/>
  <c r="G17" i="4"/>
  <c r="C17" i="4"/>
  <c r="H18" i="4" l="1"/>
  <c r="D18" i="4"/>
  <c r="A19" i="4"/>
  <c r="G18" i="4"/>
  <c r="C18" i="4"/>
  <c r="F18" i="4"/>
  <c r="B18" i="4"/>
  <c r="I18" i="4"/>
  <c r="E18" i="4"/>
  <c r="J17" i="4"/>
  <c r="J18" i="4" l="1"/>
  <c r="F19" i="4"/>
  <c r="B19" i="4"/>
  <c r="I19" i="4"/>
  <c r="E19" i="4"/>
  <c r="H19" i="4"/>
  <c r="D19" i="4"/>
  <c r="A20" i="4"/>
  <c r="G19" i="4"/>
  <c r="C19" i="4"/>
  <c r="H20" i="4" l="1"/>
  <c r="D20" i="4"/>
  <c r="A21" i="4"/>
  <c r="G20" i="4"/>
  <c r="C20" i="4"/>
  <c r="F20" i="4"/>
  <c r="B20" i="4"/>
  <c r="I20" i="4"/>
  <c r="E20" i="4"/>
  <c r="J19" i="4"/>
  <c r="J20" i="4" l="1"/>
  <c r="F21" i="4"/>
  <c r="B21" i="4"/>
  <c r="I21" i="4"/>
  <c r="E21" i="4"/>
  <c r="H21" i="4"/>
  <c r="D21" i="4"/>
  <c r="A22" i="4"/>
  <c r="G21" i="4"/>
  <c r="C21" i="4"/>
  <c r="H22" i="4" l="1"/>
  <c r="I22" i="4"/>
  <c r="D22" i="4"/>
  <c r="G22" i="4"/>
  <c r="C22" i="4"/>
  <c r="A23" i="4"/>
  <c r="F22" i="4"/>
  <c r="B22" i="4"/>
  <c r="E22" i="4"/>
  <c r="J21" i="4"/>
  <c r="J22" i="4" l="1"/>
  <c r="H23" i="4"/>
  <c r="D23" i="4"/>
  <c r="F23" i="4"/>
  <c r="B23" i="4"/>
  <c r="E23" i="4"/>
  <c r="A24" i="4"/>
  <c r="C23" i="4"/>
  <c r="I23" i="4"/>
  <c r="G23" i="4"/>
  <c r="F24" i="4" l="1"/>
  <c r="B24" i="4"/>
  <c r="H24" i="4"/>
  <c r="D24" i="4"/>
  <c r="A25" i="4"/>
  <c r="C24" i="4"/>
  <c r="I24" i="4"/>
  <c r="G24" i="4"/>
  <c r="E24" i="4"/>
  <c r="J23" i="4"/>
  <c r="J24" i="4" l="1"/>
  <c r="H25" i="4"/>
  <c r="D25" i="4"/>
  <c r="A26" i="4"/>
  <c r="G25" i="4"/>
  <c r="C25" i="4"/>
  <c r="F25" i="4"/>
  <c r="B25" i="4"/>
  <c r="I25" i="4"/>
  <c r="E25" i="4"/>
  <c r="J25" i="4" l="1"/>
  <c r="F26" i="4"/>
  <c r="B26" i="4"/>
  <c r="I26" i="4"/>
  <c r="E26" i="4"/>
  <c r="H26" i="4"/>
  <c r="D26" i="4"/>
  <c r="G26" i="4"/>
  <c r="C26" i="4"/>
  <c r="A27" i="4"/>
  <c r="J26" i="4" l="1"/>
  <c r="H27" i="4"/>
  <c r="D27" i="4"/>
  <c r="A28" i="4"/>
  <c r="G27" i="4"/>
  <c r="C27" i="4"/>
  <c r="F27" i="4"/>
  <c r="B27" i="4"/>
  <c r="I27" i="4"/>
  <c r="E27" i="4"/>
  <c r="J27" i="4" l="1"/>
  <c r="F28" i="4"/>
  <c r="B28" i="4"/>
  <c r="I28" i="4"/>
  <c r="E28" i="4"/>
  <c r="H28" i="4"/>
  <c r="D28" i="4"/>
  <c r="C28" i="4"/>
  <c r="A29" i="4"/>
  <c r="G28" i="4"/>
  <c r="J28" i="4" l="1"/>
  <c r="H29" i="4"/>
  <c r="D29" i="4"/>
  <c r="A30" i="4"/>
  <c r="G29" i="4"/>
  <c r="C29" i="4"/>
  <c r="F29" i="4"/>
  <c r="B29" i="4"/>
  <c r="I29" i="4"/>
  <c r="E29" i="4"/>
  <c r="J29" i="4" l="1"/>
  <c r="F30" i="4"/>
  <c r="B30" i="4"/>
  <c r="I30" i="4"/>
  <c r="E30" i="4"/>
  <c r="H30" i="4"/>
  <c r="D30" i="4"/>
  <c r="A31" i="4"/>
  <c r="G30" i="4"/>
  <c r="C30" i="4"/>
  <c r="H31" i="4" l="1"/>
  <c r="D31" i="4"/>
  <c r="A32" i="4"/>
  <c r="G31" i="4"/>
  <c r="C31" i="4"/>
  <c r="F31" i="4"/>
  <c r="B31" i="4"/>
  <c r="E31" i="4"/>
  <c r="I31" i="4"/>
  <c r="J30" i="4"/>
  <c r="J31" i="4" l="1"/>
  <c r="F32" i="4"/>
  <c r="B32" i="4"/>
  <c r="I32" i="4"/>
  <c r="E32" i="4"/>
  <c r="H32" i="4"/>
  <c r="D32" i="4"/>
  <c r="A33" i="4"/>
  <c r="G32" i="4"/>
  <c r="C32" i="4"/>
  <c r="H33" i="4" l="1"/>
  <c r="D33" i="4"/>
  <c r="A34" i="4"/>
  <c r="G33" i="4"/>
  <c r="C33" i="4"/>
  <c r="F33" i="4"/>
  <c r="B33" i="4"/>
  <c r="I33" i="4"/>
  <c r="E33" i="4"/>
  <c r="J32" i="4"/>
  <c r="J33" i="4" l="1"/>
  <c r="F34" i="4"/>
  <c r="B34" i="4"/>
  <c r="I34" i="4"/>
  <c r="E34" i="4"/>
  <c r="H34" i="4"/>
  <c r="D34" i="4"/>
  <c r="G34" i="4"/>
  <c r="C34" i="4"/>
  <c r="A35" i="4"/>
  <c r="J34" i="4" l="1"/>
  <c r="H35" i="4"/>
  <c r="D35" i="4"/>
  <c r="A36" i="4"/>
  <c r="G35" i="4"/>
  <c r="C35" i="4"/>
  <c r="F35" i="4"/>
  <c r="B35" i="4"/>
  <c r="I35" i="4"/>
  <c r="E35" i="4"/>
  <c r="J35" i="4" l="1"/>
  <c r="F36" i="4"/>
  <c r="B36" i="4"/>
  <c r="I36" i="4"/>
  <c r="E36" i="4"/>
  <c r="H36" i="4"/>
  <c r="D36" i="4"/>
  <c r="C36" i="4"/>
  <c r="A37" i="4"/>
  <c r="G36" i="4"/>
  <c r="J36" i="4" l="1"/>
  <c r="H37" i="4"/>
  <c r="D37" i="4"/>
  <c r="A38" i="4"/>
  <c r="G37" i="4"/>
  <c r="C37" i="4"/>
  <c r="F37" i="4"/>
  <c r="B37" i="4"/>
  <c r="I37" i="4"/>
  <c r="E37" i="4"/>
  <c r="J37" i="4" l="1"/>
  <c r="F38" i="4"/>
  <c r="B38" i="4"/>
  <c r="I38" i="4"/>
  <c r="E38" i="4"/>
  <c r="H38" i="4"/>
  <c r="D38" i="4"/>
  <c r="A39" i="4"/>
  <c r="G38" i="4"/>
  <c r="C38" i="4"/>
  <c r="H39" i="4" l="1"/>
  <c r="D39" i="4"/>
  <c r="A40" i="4"/>
  <c r="G39" i="4"/>
  <c r="C39" i="4"/>
  <c r="F39" i="4"/>
  <c r="B39" i="4"/>
  <c r="E39" i="4"/>
  <c r="I39" i="4"/>
  <c r="J38" i="4"/>
  <c r="J39" i="4" l="1"/>
  <c r="H40" i="4"/>
  <c r="D40" i="4"/>
  <c r="F40" i="4"/>
  <c r="B40" i="4"/>
  <c r="A41" i="4"/>
  <c r="C40" i="4"/>
  <c r="I40" i="4"/>
  <c r="G40" i="4"/>
  <c r="E40" i="4"/>
  <c r="F41" i="4" l="1"/>
  <c r="B41" i="4"/>
  <c r="H41" i="4"/>
  <c r="D41" i="4"/>
  <c r="I41" i="4"/>
  <c r="G41" i="4"/>
  <c r="E41" i="4"/>
  <c r="A42" i="4"/>
  <c r="C41" i="4"/>
  <c r="J40" i="4"/>
  <c r="H42" i="4" l="1"/>
  <c r="D42" i="4"/>
  <c r="F42" i="4"/>
  <c r="B42" i="4"/>
  <c r="G42" i="4"/>
  <c r="E42" i="4"/>
  <c r="A43" i="4"/>
  <c r="C42" i="4"/>
  <c r="I42" i="4"/>
  <c r="J41" i="4"/>
  <c r="J42" i="4" l="1"/>
  <c r="F43" i="4"/>
  <c r="B43" i="4"/>
  <c r="H43" i="4"/>
  <c r="D43" i="4"/>
  <c r="E43" i="4"/>
  <c r="A44" i="4"/>
  <c r="C43" i="4"/>
  <c r="I43" i="4"/>
  <c r="G43" i="4"/>
  <c r="H44" i="4" l="1"/>
  <c r="D44" i="4"/>
  <c r="F44" i="4"/>
  <c r="B44" i="4"/>
  <c r="A45" i="4"/>
  <c r="C44" i="4"/>
  <c r="I44" i="4"/>
  <c r="G44" i="4"/>
  <c r="E44" i="4"/>
  <c r="J43" i="4"/>
  <c r="J44" i="4" l="1"/>
  <c r="F45" i="4"/>
  <c r="B45" i="4"/>
  <c r="H45" i="4"/>
  <c r="D45" i="4"/>
  <c r="I45" i="4"/>
  <c r="G45" i="4"/>
  <c r="E45" i="4"/>
  <c r="C45" i="4"/>
  <c r="A46" i="4"/>
  <c r="J45" i="4" l="1"/>
  <c r="H46" i="4"/>
  <c r="D46" i="4"/>
  <c r="F46" i="4"/>
  <c r="B46" i="4"/>
  <c r="G46" i="4"/>
  <c r="E46" i="4"/>
  <c r="A47" i="4"/>
  <c r="C46" i="4"/>
  <c r="I46" i="4"/>
  <c r="F47" i="4" l="1"/>
  <c r="B47" i="4"/>
  <c r="H47" i="4"/>
  <c r="D47" i="4"/>
  <c r="E47" i="4"/>
  <c r="A48" i="4"/>
  <c r="C47" i="4"/>
  <c r="I47" i="4"/>
  <c r="G47" i="4"/>
  <c r="J46" i="4"/>
  <c r="H48" i="4" l="1"/>
  <c r="D48" i="4"/>
  <c r="F48" i="4"/>
  <c r="B48" i="4"/>
  <c r="A49" i="4"/>
  <c r="C48" i="4"/>
  <c r="I48" i="4"/>
  <c r="G48" i="4"/>
  <c r="E48" i="4"/>
  <c r="J47" i="4"/>
  <c r="J48" i="4" l="1"/>
  <c r="F49" i="4"/>
  <c r="B49" i="4"/>
  <c r="H49" i="4"/>
  <c r="D49" i="4"/>
  <c r="I49" i="4"/>
  <c r="G49" i="4"/>
  <c r="E49" i="4"/>
  <c r="A50" i="4"/>
  <c r="C49" i="4"/>
  <c r="J49" i="4" l="1"/>
  <c r="H50" i="4"/>
  <c r="D50" i="4"/>
  <c r="F50" i="4"/>
  <c r="B50" i="4"/>
  <c r="G50" i="4"/>
  <c r="E50" i="4"/>
  <c r="A51" i="4"/>
  <c r="C50" i="4"/>
  <c r="I50" i="4"/>
  <c r="F51" i="4" l="1"/>
  <c r="B51" i="4"/>
  <c r="H51" i="4"/>
  <c r="D51" i="4"/>
  <c r="E51" i="4"/>
  <c r="A52" i="4"/>
  <c r="C51" i="4"/>
  <c r="I51" i="4"/>
  <c r="G51" i="4"/>
  <c r="J50" i="4"/>
  <c r="H52" i="4" l="1"/>
  <c r="D52" i="4"/>
  <c r="F52" i="4"/>
  <c r="B52" i="4"/>
  <c r="A53" i="4"/>
  <c r="C52" i="4"/>
  <c r="I52" i="4"/>
  <c r="G52" i="4"/>
  <c r="E52" i="4"/>
  <c r="J51" i="4"/>
  <c r="J52" i="4" l="1"/>
  <c r="F53" i="4"/>
  <c r="B53" i="4"/>
  <c r="H53" i="4"/>
  <c r="D53" i="4"/>
  <c r="I53" i="4"/>
  <c r="G53" i="4"/>
  <c r="E53" i="4"/>
  <c r="A54" i="4"/>
  <c r="C53" i="4"/>
  <c r="J53" i="4" l="1"/>
  <c r="H54" i="4"/>
  <c r="D54" i="4"/>
  <c r="F54" i="4"/>
  <c r="B54" i="4"/>
  <c r="G54" i="4"/>
  <c r="E54" i="4"/>
  <c r="A55" i="4"/>
  <c r="C54" i="4"/>
  <c r="I54" i="4"/>
  <c r="F55" i="4" l="1"/>
  <c r="B55" i="4"/>
  <c r="H55" i="4"/>
  <c r="D55" i="4"/>
  <c r="E55" i="4"/>
  <c r="A56" i="4"/>
  <c r="C55" i="4"/>
  <c r="I55" i="4"/>
  <c r="G55" i="4"/>
  <c r="J54" i="4"/>
  <c r="H56" i="4" l="1"/>
  <c r="D56" i="4"/>
  <c r="F56" i="4"/>
  <c r="B56" i="4"/>
  <c r="A57" i="4"/>
  <c r="C56" i="4"/>
  <c r="I56" i="4"/>
  <c r="G56" i="4"/>
  <c r="E56" i="4"/>
  <c r="J55" i="4"/>
  <c r="J56" i="4" l="1"/>
  <c r="F57" i="4"/>
  <c r="B57" i="4"/>
  <c r="H57" i="4"/>
  <c r="D57" i="4"/>
  <c r="I57" i="4"/>
  <c r="G57" i="4"/>
  <c r="E57" i="4"/>
  <c r="A58" i="4"/>
  <c r="C57" i="4"/>
  <c r="J57" i="4" l="1"/>
  <c r="H58" i="4"/>
  <c r="D58" i="4"/>
  <c r="F58" i="4"/>
  <c r="B58" i="4"/>
  <c r="G58" i="4"/>
  <c r="E58" i="4"/>
  <c r="A59" i="4"/>
  <c r="C58" i="4"/>
  <c r="I58" i="4"/>
  <c r="F59" i="4" l="1"/>
  <c r="B59" i="4"/>
  <c r="H59" i="4"/>
  <c r="D59" i="4"/>
  <c r="E59" i="4"/>
  <c r="A60" i="4"/>
  <c r="C59" i="4"/>
  <c r="I59" i="4"/>
  <c r="G59" i="4"/>
  <c r="J58" i="4"/>
  <c r="H60" i="4" l="1"/>
  <c r="D60" i="4"/>
  <c r="F60" i="4"/>
  <c r="B60" i="4"/>
  <c r="A61" i="4"/>
  <c r="C60" i="4"/>
  <c r="I60" i="4"/>
  <c r="G60" i="4"/>
  <c r="E60" i="4"/>
  <c r="J59" i="4"/>
  <c r="J60" i="4" l="1"/>
  <c r="F61" i="4"/>
  <c r="B61" i="4"/>
  <c r="H61" i="4"/>
  <c r="D61" i="4"/>
  <c r="I61" i="4"/>
  <c r="G61" i="4"/>
  <c r="E61" i="4"/>
  <c r="C61" i="4"/>
  <c r="A62" i="4"/>
  <c r="J61" i="4" l="1"/>
  <c r="H62" i="4"/>
  <c r="D62" i="4"/>
  <c r="F62" i="4"/>
  <c r="B62" i="4"/>
  <c r="G62" i="4"/>
  <c r="E62" i="4"/>
  <c r="A63" i="4"/>
  <c r="C62" i="4"/>
  <c r="I62" i="4"/>
  <c r="F63" i="4" l="1"/>
  <c r="B63" i="4"/>
  <c r="H63" i="4"/>
  <c r="D63" i="4"/>
  <c r="E63" i="4"/>
  <c r="A64" i="4"/>
  <c r="C63" i="4"/>
  <c r="I63" i="4"/>
  <c r="G63" i="4"/>
  <c r="J62" i="4"/>
  <c r="H64" i="4" l="1"/>
  <c r="D64" i="4"/>
  <c r="F64" i="4"/>
  <c r="B64" i="4"/>
  <c r="A65" i="4"/>
  <c r="C64" i="4"/>
  <c r="I64" i="4"/>
  <c r="G64" i="4"/>
  <c r="E64" i="4"/>
  <c r="J63" i="4"/>
  <c r="J64" i="4" l="1"/>
  <c r="F65" i="4"/>
  <c r="B65" i="4"/>
  <c r="H65" i="4"/>
  <c r="D65" i="4"/>
  <c r="I65" i="4"/>
  <c r="G65" i="4"/>
  <c r="E65" i="4"/>
  <c r="A66" i="4"/>
  <c r="C65" i="4"/>
  <c r="J65" i="4" l="1"/>
  <c r="H66" i="4"/>
  <c r="D66" i="4"/>
  <c r="F66" i="4"/>
  <c r="B66" i="4"/>
  <c r="G66" i="4"/>
  <c r="E66" i="4"/>
  <c r="A67" i="4"/>
  <c r="C66" i="4"/>
  <c r="I66" i="4"/>
  <c r="F67" i="4" l="1"/>
  <c r="B67" i="4"/>
  <c r="H67" i="4"/>
  <c r="D67" i="4"/>
  <c r="E67" i="4"/>
  <c r="A68" i="4"/>
  <c r="C67" i="4"/>
  <c r="I67" i="4"/>
  <c r="G67" i="4"/>
  <c r="J66" i="4"/>
  <c r="H68" i="4" l="1"/>
  <c r="D68" i="4"/>
  <c r="F68" i="4"/>
  <c r="B68" i="4"/>
  <c r="E68" i="4"/>
  <c r="A69" i="4"/>
  <c r="C68" i="4"/>
  <c r="I68" i="4"/>
  <c r="G68" i="4"/>
  <c r="J67" i="4"/>
  <c r="J68" i="4" l="1"/>
  <c r="F69" i="4"/>
  <c r="B69" i="4"/>
  <c r="H69" i="4"/>
  <c r="D69" i="4"/>
  <c r="A70" i="4"/>
  <c r="C69" i="4"/>
  <c r="I69" i="4"/>
  <c r="G69" i="4"/>
  <c r="E69" i="4"/>
  <c r="J69" i="4" l="1"/>
  <c r="H70" i="4"/>
  <c r="D70" i="4"/>
  <c r="F70" i="4"/>
  <c r="B70" i="4"/>
  <c r="I70" i="4"/>
  <c r="G70" i="4"/>
  <c r="E70" i="4"/>
  <c r="A71" i="4"/>
  <c r="C70" i="4"/>
  <c r="F71" i="4" l="1"/>
  <c r="B71" i="4"/>
  <c r="H71" i="4"/>
  <c r="D71" i="4"/>
  <c r="G71" i="4"/>
  <c r="E71" i="4"/>
  <c r="A72" i="4"/>
  <c r="C71" i="4"/>
  <c r="I71" i="4"/>
  <c r="J70" i="4"/>
  <c r="H72" i="4" l="1"/>
  <c r="D72" i="4"/>
  <c r="A73" i="4"/>
  <c r="F72" i="4"/>
  <c r="B72" i="4"/>
  <c r="E72" i="4"/>
  <c r="C72" i="4"/>
  <c r="I72" i="4"/>
  <c r="G72" i="4"/>
  <c r="J71" i="4"/>
  <c r="F73" i="4" l="1"/>
  <c r="B73" i="4"/>
  <c r="I73" i="4"/>
  <c r="E73" i="4"/>
  <c r="H73" i="4"/>
  <c r="D73" i="4"/>
  <c r="G73" i="4"/>
  <c r="C73" i="4"/>
  <c r="J72" i="4"/>
  <c r="J73" i="4" l="1"/>
</calcChain>
</file>

<file path=xl/sharedStrings.xml><?xml version="1.0" encoding="utf-8"?>
<sst xmlns="http://schemas.openxmlformats.org/spreadsheetml/2006/main" count="658" uniqueCount="70">
  <si>
    <t>Pharmaceutical Drug Sales, 2014-2019: units sold by ATC category</t>
  </si>
  <si>
    <t>Source: Kaggle 'Pharma sales data' (single-pharmacy POS data aggregated to 8 ATC categories). Units sold, not revenue. 2019 data ends 8 Oct.</t>
  </si>
  <si>
    <t>Month</t>
  </si>
  <si>
    <t>Year</t>
  </si>
  <si>
    <t>Month No</t>
  </si>
  <si>
    <t>Category Code</t>
  </si>
  <si>
    <t>Category Name</t>
  </si>
  <si>
    <t>Units Sold</t>
  </si>
  <si>
    <t>Partial Month</t>
  </si>
  <si>
    <t>M01AB</t>
  </si>
  <si>
    <t>M01AE</t>
  </si>
  <si>
    <t>N02BA</t>
  </si>
  <si>
    <t>N02BE</t>
  </si>
  <si>
    <t>N05B</t>
  </si>
  <si>
    <t>N05C</t>
  </si>
  <si>
    <t>R03</t>
  </si>
  <si>
    <t>R06</t>
  </si>
  <si>
    <t>ATC Main Group</t>
  </si>
  <si>
    <t>Blue text = typed-in reference values. Names are short labels based on the ATC classification (first-letter group = ATC level 1). Check against the WHO ATC index before quoting.</t>
  </si>
  <si>
    <t>Anti-inflammatory (acetic acid)</t>
  </si>
  <si>
    <t>Musculo-skeletal system</t>
  </si>
  <si>
    <t>Anti-inflammatory (propionic acid)</t>
  </si>
  <si>
    <t>Analgesic (salicylic acid)</t>
  </si>
  <si>
    <t>Nervous system</t>
  </si>
  <si>
    <t>Analgesic (paracetamol-type)</t>
  </si>
  <si>
    <t>Anxiolytics</t>
  </si>
  <si>
    <t>Hypnotics &amp; sedatives</t>
  </si>
  <si>
    <t>Airway disease drugs</t>
  </si>
  <si>
    <t>Respiratory system</t>
  </si>
  <si>
    <t>Antihistamines</t>
  </si>
  <si>
    <t>Analysis tables (all SUMIFS/INDEX/MATCH formulas on the Data sheet; Dashboard charts read from here)</t>
  </si>
  <si>
    <t>A) Monthly units by category</t>
  </si>
  <si>
    <t>B) Total units by category</t>
  </si>
  <si>
    <t>C) Categories ranked by units (dynamic)</t>
  </si>
  <si>
    <t>D) Jan-Sep units by year (like-for-like; 2019 data ends 8 Oct)</t>
  </si>
  <si>
    <t>Total</t>
  </si>
  <si>
    <t>Code</t>
  </si>
  <si>
    <t>Category</t>
  </si>
  <si>
    <t>Units</t>
  </si>
  <si>
    <t>Share</t>
  </si>
  <si>
    <t>Rank</t>
  </si>
  <si>
    <t>Jan-Sep Units</t>
  </si>
  <si>
    <t>YoY %</t>
  </si>
  <si>
    <t>Oct-2019 (last row) is a partial month: data ends 8 Oct 2019. Trend chart stops at Sep-2019.</t>
  </si>
  <si>
    <t>Pharmaceutical Drug Sales - Excel workbook notes</t>
  </si>
  <si>
    <t>Source</t>
  </si>
  <si>
    <t>Kaggle 'Pharma sales data' by Milan Zdravkovic (kaggle.com/datasets/milanzdravkovic/pharma-sales-data). License on the Kaggle page: CC BY-NC 4.0.</t>
  </si>
  <si>
    <t>What the data is: units sold per ATC drug category (8 categories), 2 Jan 2014 - 8 Oct 2019. Quantities, not revenue. No product-level rows are included in the download.</t>
  </si>
  <si>
    <t>How this workbook was built</t>
  </si>
  <si>
    <t>1. Monthly totals were aggregated in Python (pandas) from salesdaily.csv, NOT from salesmonthly.csv.</t>
  </si>
  <si>
    <t xml:space="preserve">   Reason: the daily file reconciles exactly with the hourly file; the monthly file differs by &gt;1% in 28 of 70 months (Jan-2017 is ~0 there but ~2,700 units in the daily data).</t>
  </si>
  <si>
    <t>2. 'Data' sheet = one row per month x category (560 rows), stored as Excel Table 'tblSales'. Category Name is a VLOOKUP into the 'Lookup' sheet.</t>
  </si>
  <si>
    <t>3. 'Analysis' sheet = SUMIFS / INDEX-MATCH / LARGE formulas that feed the 4 charts on 'Dashboard'.</t>
  </si>
  <si>
    <t>Assumptions and caveats</t>
  </si>
  <si>
    <t>- Oct 2019 is a partial month (data ends 8 Oct) and is flagged in Data!G. The monthly trend chart stops at Sep 2019.</t>
  </si>
  <si>
    <t>- Year-over-year uses Jan-Sep only, because 2019 is incomplete. Full-year 2019 vs 2018 would be misleading.</t>
  </si>
  <si>
    <t>- 26 days in the daily file have zero sales in every category (scattered, mostly around New Year and April). Kept as-is; cause unknown (closures or gaps).</t>
  </si>
  <si>
    <t>- Jan 2017 daily values are fractional, which suggests they were spread or estimated upstream. Cause not confirmed.</t>
  </si>
  <si>
    <t>- Category names are short labels based on the ATC classification; verify against the WHO ATC index before quoting them.</t>
  </si>
  <si>
    <t>- Blue font = typed-in values (data, lookup table, seed values). Black = formulas.</t>
  </si>
  <si>
    <t>To do yourself in Excel</t>
  </si>
  <si>
    <t>A) XLOOKUP: in Data, type a new header 'ATC Main Group' in H1 (the table expands), then in H2 enter:</t>
  </si>
  <si>
    <t xml:space="preserve">   =XLOOKUP([@[Category Code]],Lookup!$A$2:$A$9,Lookup!$C$2:$C$9,"Not found")</t>
  </si>
  <si>
    <t>B) PivotTable: click inside tblSales &gt; Insert &gt; PivotTable &gt; New Worksheet. Rows = Category Name, Columns = Year, Values = Sum of Units Sold,</t>
  </si>
  <si>
    <t xml:space="preserve">   Filter = Partial Month (untick Yes). Then Insert &gt; PivotChart if you want a chart tied to it.</t>
  </si>
  <si>
    <t>Row Labels</t>
  </si>
  <si>
    <t>Grand Total</t>
  </si>
  <si>
    <t>Column Labels</t>
  </si>
  <si>
    <t>Sum of Units Sold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</si>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</sst>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m\-yyyy"/>
    <numFmt numFmtId="165" formatCode="mmm\-yy"/>
    <numFmt numFmtId="166" formatCode="0.0%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2"/>
      <name val="Arial"/>
      <charset val="1"/>
    </font>
    <font>
      <b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164" fontId="4" fillId="0" borderId="0" xfId="0" applyNumberFormat="1" applyFont="1"/>
    <xf numFmtId="0" fontId="4" fillId="0" borderId="0" xfId="0" applyFont="1"/>
    <xf numFmtId="4" fontId="5" fillId="0" borderId="0" xfId="0" applyNumberFormat="1" applyFont="1"/>
    <xf numFmtId="0" fontId="3" fillId="2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165" fontId="5" fillId="0" borderId="0" xfId="0" applyNumberFormat="1" applyFont="1"/>
    <xf numFmtId="3" fontId="4" fillId="0" borderId="0" xfId="0" applyNumberFormat="1" applyFont="1"/>
    <xf numFmtId="166" fontId="4" fillId="0" borderId="0" xfId="0" applyNumberFormat="1" applyFont="1"/>
    <xf numFmtId="165" fontId="4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3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C0C0C0"/>
      <rgbColor rgb="FF878787"/>
      <rgbColor rgb="FF93A9CE"/>
      <rgbColor rgb="FFAB4744"/>
      <rgbColor rgb="FFFFFFCC"/>
      <rgbColor rgb="FFCCFFFF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D09493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725990"/>
      <rgbColor rgb="FF8AA64F"/>
      <rgbColor rgb="FF003366"/>
      <rgbColor rgb="FF4299B0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units sold, Jan 2014 - Sep 2019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Analysis!$J$3</c:f>
              <c:strCache>
                <c:ptCount val="1"/>
                <c:pt idx="0">
                  <c:v>Total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Analysis!$A$4:$A$72</c:f>
              <c:numCache>
                <c:formatCode>mmm\-yy</c:formatCode>
                <c:ptCount val="69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  <c:pt idx="67">
                  <c:v>43708</c:v>
                </c:pt>
                <c:pt idx="68">
                  <c:v>43738</c:v>
                </c:pt>
              </c:numCache>
            </c:numRef>
          </c:cat>
          <c:val>
            <c:numRef>
              <c:f>Analysis!$J$4:$J$72</c:f>
              <c:numCache>
                <c:formatCode>#,##0</c:formatCode>
                <c:ptCount val="69"/>
                <c:pt idx="0">
                  <c:v>1801.11</c:v>
                </c:pt>
                <c:pt idx="1">
                  <c:v>1974.47</c:v>
                </c:pt>
                <c:pt idx="2">
                  <c:v>1606.72</c:v>
                </c:pt>
                <c:pt idx="3">
                  <c:v>1423.92</c:v>
                </c:pt>
                <c:pt idx="4">
                  <c:v>1506.3</c:v>
                </c:pt>
                <c:pt idx="5">
                  <c:v>1390.2099999999998</c:v>
                </c:pt>
                <c:pt idx="6">
                  <c:v>1332.37</c:v>
                </c:pt>
                <c:pt idx="7">
                  <c:v>1452.52</c:v>
                </c:pt>
                <c:pt idx="8">
                  <c:v>1804.59</c:v>
                </c:pt>
                <c:pt idx="9">
                  <c:v>2081.9899999999998</c:v>
                </c:pt>
                <c:pt idx="10">
                  <c:v>1770.64</c:v>
                </c:pt>
                <c:pt idx="11">
                  <c:v>2093.48</c:v>
                </c:pt>
                <c:pt idx="12">
                  <c:v>2157.75</c:v>
                </c:pt>
                <c:pt idx="13">
                  <c:v>1831.53</c:v>
                </c:pt>
                <c:pt idx="14">
                  <c:v>1949.08</c:v>
                </c:pt>
                <c:pt idx="15">
                  <c:v>1723.88</c:v>
                </c:pt>
                <c:pt idx="16">
                  <c:v>1644.58</c:v>
                </c:pt>
                <c:pt idx="17">
                  <c:v>1674.2299999999998</c:v>
                </c:pt>
                <c:pt idx="18">
                  <c:v>1523.05</c:v>
                </c:pt>
                <c:pt idx="19">
                  <c:v>1659.6000000000001</c:v>
                </c:pt>
                <c:pt idx="20">
                  <c:v>1679.3600000000001</c:v>
                </c:pt>
                <c:pt idx="21">
                  <c:v>2529.58</c:v>
                </c:pt>
                <c:pt idx="22">
                  <c:v>2106.88</c:v>
                </c:pt>
                <c:pt idx="23">
                  <c:v>2272.83</c:v>
                </c:pt>
                <c:pt idx="24">
                  <c:v>2451.37</c:v>
                </c:pt>
                <c:pt idx="25">
                  <c:v>2232.3999999999996</c:v>
                </c:pt>
                <c:pt idx="26">
                  <c:v>2235.17</c:v>
                </c:pt>
                <c:pt idx="27">
                  <c:v>2147.58</c:v>
                </c:pt>
                <c:pt idx="28">
                  <c:v>1957.02</c:v>
                </c:pt>
                <c:pt idx="29">
                  <c:v>1724.7299999999998</c:v>
                </c:pt>
                <c:pt idx="30">
                  <c:v>1599.6399999999999</c:v>
                </c:pt>
                <c:pt idx="31">
                  <c:v>1633.3899999999999</c:v>
                </c:pt>
                <c:pt idx="32">
                  <c:v>2049.88</c:v>
                </c:pt>
                <c:pt idx="33">
                  <c:v>2655.39</c:v>
                </c:pt>
                <c:pt idx="34">
                  <c:v>1942.6100000000001</c:v>
                </c:pt>
                <c:pt idx="35">
                  <c:v>2605.77</c:v>
                </c:pt>
                <c:pt idx="36">
                  <c:v>2699.6</c:v>
                </c:pt>
                <c:pt idx="37">
                  <c:v>1447.48</c:v>
                </c:pt>
                <c:pt idx="38">
                  <c:v>1376.86</c:v>
                </c:pt>
                <c:pt idx="39">
                  <c:v>1341.8100000000004</c:v>
                </c:pt>
                <c:pt idx="40">
                  <c:v>1369.48</c:v>
                </c:pt>
                <c:pt idx="41">
                  <c:v>1306.94</c:v>
                </c:pt>
                <c:pt idx="42">
                  <c:v>1251.1499999999999</c:v>
                </c:pt>
                <c:pt idx="43">
                  <c:v>1302.4199999999998</c:v>
                </c:pt>
                <c:pt idx="44">
                  <c:v>1660.8400000000001</c:v>
                </c:pt>
                <c:pt idx="45">
                  <c:v>2050.13</c:v>
                </c:pt>
                <c:pt idx="46">
                  <c:v>1705.58</c:v>
                </c:pt>
                <c:pt idx="47">
                  <c:v>1887.1</c:v>
                </c:pt>
                <c:pt idx="48">
                  <c:v>1985.71</c:v>
                </c:pt>
                <c:pt idx="49">
                  <c:v>2174.4899999999998</c:v>
                </c:pt>
                <c:pt idx="50">
                  <c:v>2156.84</c:v>
                </c:pt>
                <c:pt idx="51">
                  <c:v>1894.73</c:v>
                </c:pt>
                <c:pt idx="52">
                  <c:v>1650.13</c:v>
                </c:pt>
                <c:pt idx="53">
                  <c:v>1414.3500000000001</c:v>
                </c:pt>
                <c:pt idx="54">
                  <c:v>1563.48</c:v>
                </c:pt>
                <c:pt idx="55">
                  <c:v>1611.9099999999999</c:v>
                </c:pt>
                <c:pt idx="56">
                  <c:v>1981.37</c:v>
                </c:pt>
                <c:pt idx="57">
                  <c:v>2195.34</c:v>
                </c:pt>
                <c:pt idx="58">
                  <c:v>2008.68</c:v>
                </c:pt>
                <c:pt idx="59">
                  <c:v>2247.5300000000002</c:v>
                </c:pt>
                <c:pt idx="60">
                  <c:v>2875.16</c:v>
                </c:pt>
                <c:pt idx="61">
                  <c:v>1944.2</c:v>
                </c:pt>
                <c:pt idx="62">
                  <c:v>2038.94</c:v>
                </c:pt>
                <c:pt idx="63">
                  <c:v>1716.81</c:v>
                </c:pt>
                <c:pt idx="64">
                  <c:v>1798.45</c:v>
                </c:pt>
                <c:pt idx="65">
                  <c:v>1482.4099999999999</c:v>
                </c:pt>
                <c:pt idx="66">
                  <c:v>1488.81</c:v>
                </c:pt>
                <c:pt idx="67">
                  <c:v>1377.78</c:v>
                </c:pt>
                <c:pt idx="68">
                  <c:v>1824.81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50691120"/>
        <c:axId val="250688768"/>
      </c:lineChart>
      <c:dateAx>
        <c:axId val="25069112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0688768"/>
        <c:crosses val="autoZero"/>
        <c:auto val="1"/>
        <c:lblOffset val="100"/>
        <c:baseTimeUnit val="months"/>
      </c:dateAx>
      <c:valAx>
        <c:axId val="2506887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Units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06911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Share of total units by category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Analysis!$R$3</c:f>
              <c:strCache>
                <c:ptCount val="1"/>
                <c:pt idx="0">
                  <c:v>Units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bubble3D val="0"/>
            <c:spPr>
              <a:solidFill>
                <a:srgbClr val="D09493"/>
              </a:solidFill>
              <a:ln w="0">
                <a:noFill/>
              </a:ln>
            </c:spPr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Analysis!$T$4:$T$11</c:f>
              <c:strCache>
                <c:ptCount val="8"/>
                <c:pt idx="0">
                  <c:v>Analgesic (paracetamol-type)</c:v>
                </c:pt>
                <c:pt idx="1">
                  <c:v>Anxiolytics</c:v>
                </c:pt>
                <c:pt idx="2">
                  <c:v>Airway disease drugs</c:v>
                </c:pt>
                <c:pt idx="3">
                  <c:v>Anti-inflammatory (acetic acid)</c:v>
                </c:pt>
                <c:pt idx="4">
                  <c:v>Anti-inflammatory (propionic acid)</c:v>
                </c:pt>
                <c:pt idx="5">
                  <c:v>Analgesic (salicylic acid)</c:v>
                </c:pt>
                <c:pt idx="6">
                  <c:v>Antihistamines</c:v>
                </c:pt>
                <c:pt idx="7">
                  <c:v>Hypnotics &amp; sedatives</c:v>
                </c:pt>
              </c:strCache>
            </c:strRef>
          </c:cat>
          <c:val>
            <c:numRef>
              <c:f>Analysis!$R$4:$R$11</c:f>
              <c:numCache>
                <c:formatCode>#,##0</c:formatCode>
                <c:ptCount val="8"/>
                <c:pt idx="0">
                  <c:v>63005.4</c:v>
                </c:pt>
                <c:pt idx="1">
                  <c:v>18645.730000000003</c:v>
                </c:pt>
                <c:pt idx="2">
                  <c:v>11608.83</c:v>
                </c:pt>
                <c:pt idx="3">
                  <c:v>10600.930000000002</c:v>
                </c:pt>
                <c:pt idx="4">
                  <c:v>8204.6500000000015</c:v>
                </c:pt>
                <c:pt idx="5">
                  <c:v>8172.2199999999975</c:v>
                </c:pt>
                <c:pt idx="6">
                  <c:v>6107.8200000000006</c:v>
                </c:pt>
                <c:pt idx="7">
                  <c:v>1249.96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5 categories by total units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Analysis!$R$3</c:f>
              <c:strCache>
                <c:ptCount val="1"/>
                <c:pt idx="0">
                  <c:v>Units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Analysis!$T$4:$T$8</c:f>
              <c:strCache>
                <c:ptCount val="5"/>
                <c:pt idx="0">
                  <c:v>Analgesic (paracetamol-type)</c:v>
                </c:pt>
                <c:pt idx="1">
                  <c:v>Anxiolytics</c:v>
                </c:pt>
                <c:pt idx="2">
                  <c:v>Airway disease drugs</c:v>
                </c:pt>
                <c:pt idx="3">
                  <c:v>Anti-inflammatory (acetic acid)</c:v>
                </c:pt>
                <c:pt idx="4">
                  <c:v>Anti-inflammatory (propionic acid)</c:v>
                </c:pt>
              </c:strCache>
            </c:strRef>
          </c:cat>
          <c:val>
            <c:numRef>
              <c:f>Analysis!$R$4:$R$8</c:f>
              <c:numCache>
                <c:formatCode>#,##0</c:formatCode>
                <c:ptCount val="5"/>
                <c:pt idx="0">
                  <c:v>63005.4</c:v>
                </c:pt>
                <c:pt idx="1">
                  <c:v>18645.730000000003</c:v>
                </c:pt>
                <c:pt idx="2">
                  <c:v>11608.83</c:v>
                </c:pt>
                <c:pt idx="3">
                  <c:v>10600.930000000002</c:v>
                </c:pt>
                <c:pt idx="4">
                  <c:v>8204.6500000000015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0685240"/>
        <c:axId val="250691512"/>
      </c:barChart>
      <c:catAx>
        <c:axId val="2506852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0691512"/>
        <c:crosses val="autoZero"/>
        <c:auto val="1"/>
        <c:lblAlgn val="ctr"/>
        <c:lblOffset val="100"/>
        <c:noMultiLvlLbl val="0"/>
      </c:catAx>
      <c:valAx>
        <c:axId val="250691512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Units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06852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Jan-Sep units by year (like-for-like)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Analysis!$X$3</c:f>
              <c:strCache>
                <c:ptCount val="1"/>
                <c:pt idx="0">
                  <c:v>Jan-Sep Units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Analysis!$W$4:$W$9</c:f>
              <c:numCache>
                <c:formatCode>General</c:formatCode>
                <c:ptCount val="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</c:numCache>
            </c:numRef>
          </c:cat>
          <c:val>
            <c:numRef>
              <c:f>Analysis!$X$4:$X$9</c:f>
              <c:numCache>
                <c:formatCode>#,##0</c:formatCode>
                <c:ptCount val="6"/>
                <c:pt idx="0">
                  <c:v>14292.209999999997</c:v>
                </c:pt>
                <c:pt idx="1">
                  <c:v>15843.060000000001</c:v>
                </c:pt>
                <c:pt idx="2">
                  <c:v>18031.179999999993</c:v>
                </c:pt>
                <c:pt idx="3">
                  <c:v>13756.58</c:v>
                </c:pt>
                <c:pt idx="4">
                  <c:v>16433.010000000002</c:v>
                </c:pt>
                <c:pt idx="5">
                  <c:v>16547.37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0686024"/>
        <c:axId val="250691904"/>
      </c:barChart>
      <c:catAx>
        <c:axId val="250686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0691904"/>
        <c:crosses val="autoZero"/>
        <c:auto val="1"/>
        <c:lblAlgn val="ctr"/>
        <c:lblOffset val="100"/>
        <c:noMultiLvlLbl val="0"/>
      </c:catAx>
      <c:valAx>
        <c:axId val="2506919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Units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06860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160920</xdr:rowOff>
    </xdr:from>
    <xdr:to>
      <xdr:col>10</xdr:col>
      <xdr:colOff>4680</xdr:colOff>
      <xdr:row>18</xdr:row>
      <xdr:rowOff>172440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</xdr:row>
      <xdr:rowOff>160920</xdr:rowOff>
    </xdr:from>
    <xdr:to>
      <xdr:col>21</xdr:col>
      <xdr:colOff>4680</xdr:colOff>
      <xdr:row>18</xdr:row>
      <xdr:rowOff>172440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20</xdr:row>
      <xdr:rowOff>160920</xdr:rowOff>
    </xdr:from>
    <xdr:to>
      <xdr:col>10</xdr:col>
      <xdr:colOff>4680</xdr:colOff>
      <xdr:row>36</xdr:row>
      <xdr:rowOff>172440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20</xdr:row>
      <xdr:rowOff>160920</xdr:rowOff>
    </xdr:from>
    <xdr:to>
      <xdr:col>21</xdr:col>
      <xdr:colOff>4680</xdr:colOff>
      <xdr:row>36</xdr:row>
      <xdr:rowOff>172440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311.625281712964" createdVersion="5" refreshedVersion="5" minRefreshableVersion="3" recordCount="560">
  <cacheSource type="worksheet">
    <worksheetSource name="tblSales"/>
  </cacheSource>
  <cacheFields count="8">
    <cacheField name="Month" numFmtId="164">
      <sharedItems containsSemiMixedTypes="0" containsNonDate="0" containsDate="1" containsString="0" minDate="2014-01-31T00:00:00" maxDate="2019-11-01T00:00:00"/>
    </cacheField>
    <cacheField name="Year" numFmtId="0">
      <sharedItems containsSemiMixedTypes="0" containsString="0" containsNumber="1" containsInteger="1" minValue="2014" maxValue="2019" count="6">
        <n v="2014"/>
        <n v="2015"/>
        <n v="2016"/>
        <n v="2017"/>
        <n v="2018"/>
        <n v="2019"/>
      </sharedItems>
    </cacheField>
    <cacheField name="Month No" numFmtId="0">
      <sharedItems containsSemiMixedTypes="0" containsString="0" containsNumber="1" containsInteger="1" minValue="1" maxValue="12"/>
    </cacheField>
    <cacheField name="Category Code" numFmtId="0">
      <sharedItems/>
    </cacheField>
    <cacheField name="Category Name" numFmtId="0">
      <sharedItems count="8">
        <s v="Anti-inflammatory (acetic acid)"/>
        <s v="Anti-inflammatory (propionic acid)"/>
        <s v="Analgesic (salicylic acid)"/>
        <s v="Analgesic (paracetamol-type)"/>
        <s v="Anxiolytics"/>
        <s v="Hypnotics &amp; sedatives"/>
        <s v="Airway disease drugs"/>
        <s v="Antihistamines"/>
      </sharedItems>
    </cacheField>
    <cacheField name="Units Sold" numFmtId="4">
      <sharedItems containsSemiMixedTypes="0" containsString="0" containsNumber="1" minValue="5" maxValue="1660.61"/>
    </cacheField>
    <cacheField name="Partial Month" numFmtId="0">
      <sharedItems count="2">
        <s v="No"/>
        <s v="Yes"/>
      </sharedItems>
    </cacheField>
    <cacheField name="ATC Main Group" numFmtId="0">
      <sharedItems count="3">
        <s v="Musculo-skeletal system"/>
        <s v="Nervous system"/>
        <s v="Respiratory syste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60">
  <r>
    <d v="2014-01-31T00:00:00"/>
    <x v="0"/>
    <n v="1"/>
    <s v="M01AB"/>
    <x v="0"/>
    <n v="127.69"/>
    <x v="0"/>
    <x v="0"/>
  </r>
  <r>
    <d v="2014-01-31T00:00:00"/>
    <x v="0"/>
    <n v="1"/>
    <s v="M01AE"/>
    <x v="1"/>
    <n v="99.09"/>
    <x v="0"/>
    <x v="0"/>
  </r>
  <r>
    <d v="2014-01-31T00:00:00"/>
    <x v="0"/>
    <n v="1"/>
    <s v="N02BA"/>
    <x v="2"/>
    <n v="152.1"/>
    <x v="0"/>
    <x v="1"/>
  </r>
  <r>
    <d v="2014-01-31T00:00:00"/>
    <x v="0"/>
    <n v="1"/>
    <s v="N02BE"/>
    <x v="3"/>
    <n v="878.03"/>
    <x v="0"/>
    <x v="1"/>
  </r>
  <r>
    <d v="2014-01-31T00:00:00"/>
    <x v="0"/>
    <n v="1"/>
    <s v="N05B"/>
    <x v="4"/>
    <n v="354"/>
    <x v="0"/>
    <x v="1"/>
  </r>
  <r>
    <d v="2014-01-31T00:00:00"/>
    <x v="0"/>
    <n v="1"/>
    <s v="N05C"/>
    <x v="5"/>
    <n v="30"/>
    <x v="0"/>
    <x v="1"/>
  </r>
  <r>
    <d v="2014-01-31T00:00:00"/>
    <x v="0"/>
    <n v="1"/>
    <s v="R03"/>
    <x v="6"/>
    <n v="112"/>
    <x v="0"/>
    <x v="2"/>
  </r>
  <r>
    <d v="2014-01-31T00:00:00"/>
    <x v="0"/>
    <n v="1"/>
    <s v="R06"/>
    <x v="7"/>
    <n v="48.2"/>
    <x v="0"/>
    <x v="2"/>
  </r>
  <r>
    <d v="2014-02-28T00:00:00"/>
    <x v="0"/>
    <n v="2"/>
    <s v="M01AB"/>
    <x v="0"/>
    <n v="133.32"/>
    <x v="0"/>
    <x v="0"/>
  </r>
  <r>
    <d v="2014-02-28T00:00:00"/>
    <x v="0"/>
    <n v="2"/>
    <s v="M01AE"/>
    <x v="1"/>
    <n v="126.05"/>
    <x v="0"/>
    <x v="0"/>
  </r>
  <r>
    <d v="2014-02-28T00:00:00"/>
    <x v="0"/>
    <n v="2"/>
    <s v="N02BA"/>
    <x v="2"/>
    <n v="177"/>
    <x v="0"/>
    <x v="1"/>
  </r>
  <r>
    <d v="2014-02-28T00:00:00"/>
    <x v="0"/>
    <n v="2"/>
    <s v="N02BE"/>
    <x v="3"/>
    <n v="1001.9"/>
    <x v="0"/>
    <x v="1"/>
  </r>
  <r>
    <d v="2014-02-28T00:00:00"/>
    <x v="0"/>
    <n v="2"/>
    <s v="N05B"/>
    <x v="4"/>
    <n v="347"/>
    <x v="0"/>
    <x v="1"/>
  </r>
  <r>
    <d v="2014-02-28T00:00:00"/>
    <x v="0"/>
    <n v="2"/>
    <s v="N05C"/>
    <x v="5"/>
    <n v="31"/>
    <x v="0"/>
    <x v="1"/>
  </r>
  <r>
    <d v="2014-02-28T00:00:00"/>
    <x v="0"/>
    <n v="2"/>
    <s v="R03"/>
    <x v="6"/>
    <n v="122"/>
    <x v="0"/>
    <x v="2"/>
  </r>
  <r>
    <d v="2014-02-28T00:00:00"/>
    <x v="0"/>
    <n v="2"/>
    <s v="R06"/>
    <x v="7"/>
    <n v="36.200000000000003"/>
    <x v="0"/>
    <x v="2"/>
  </r>
  <r>
    <d v="2014-03-31T00:00:00"/>
    <x v="0"/>
    <n v="3"/>
    <s v="M01AB"/>
    <x v="0"/>
    <n v="137.44"/>
    <x v="0"/>
    <x v="0"/>
  </r>
  <r>
    <d v="2014-03-31T00:00:00"/>
    <x v="0"/>
    <n v="3"/>
    <s v="M01AE"/>
    <x v="1"/>
    <n v="92.95"/>
    <x v="0"/>
    <x v="0"/>
  </r>
  <r>
    <d v="2014-03-31T00:00:00"/>
    <x v="0"/>
    <n v="3"/>
    <s v="N02BA"/>
    <x v="2"/>
    <n v="147.66"/>
    <x v="0"/>
    <x v="1"/>
  </r>
  <r>
    <d v="2014-03-31T00:00:00"/>
    <x v="0"/>
    <n v="3"/>
    <s v="N02BE"/>
    <x v="3"/>
    <n v="779.27"/>
    <x v="0"/>
    <x v="1"/>
  </r>
  <r>
    <d v="2014-03-31T00:00:00"/>
    <x v="0"/>
    <n v="3"/>
    <s v="N05B"/>
    <x v="4"/>
    <n v="232"/>
    <x v="0"/>
    <x v="1"/>
  </r>
  <r>
    <d v="2014-03-31T00:00:00"/>
    <x v="0"/>
    <n v="3"/>
    <s v="N05C"/>
    <x v="5"/>
    <n v="20"/>
    <x v="0"/>
    <x v="1"/>
  </r>
  <r>
    <d v="2014-03-31T00:00:00"/>
    <x v="0"/>
    <n v="3"/>
    <s v="R03"/>
    <x v="6"/>
    <n v="112"/>
    <x v="0"/>
    <x v="2"/>
  </r>
  <r>
    <d v="2014-03-31T00:00:00"/>
    <x v="0"/>
    <n v="3"/>
    <s v="R06"/>
    <x v="7"/>
    <n v="85.4"/>
    <x v="0"/>
    <x v="2"/>
  </r>
  <r>
    <d v="2014-04-30T00:00:00"/>
    <x v="0"/>
    <n v="4"/>
    <s v="M01AB"/>
    <x v="0"/>
    <n v="113.1"/>
    <x v="0"/>
    <x v="0"/>
  </r>
  <r>
    <d v="2014-04-30T00:00:00"/>
    <x v="0"/>
    <n v="4"/>
    <s v="M01AE"/>
    <x v="1"/>
    <n v="89.47"/>
    <x v="0"/>
    <x v="0"/>
  </r>
  <r>
    <d v="2014-04-30T00:00:00"/>
    <x v="0"/>
    <n v="4"/>
    <s v="N02BA"/>
    <x v="2"/>
    <n v="125.15"/>
    <x v="0"/>
    <x v="1"/>
  </r>
  <r>
    <d v="2014-04-30T00:00:00"/>
    <x v="0"/>
    <n v="4"/>
    <s v="N02BE"/>
    <x v="3"/>
    <n v="698.5"/>
    <x v="0"/>
    <x v="1"/>
  </r>
  <r>
    <d v="2014-04-30T00:00:00"/>
    <x v="0"/>
    <n v="4"/>
    <s v="N05B"/>
    <x v="4"/>
    <n v="209"/>
    <x v="0"/>
    <x v="1"/>
  </r>
  <r>
    <d v="2014-04-30T00:00:00"/>
    <x v="0"/>
    <n v="4"/>
    <s v="N05C"/>
    <x v="5"/>
    <n v="18"/>
    <x v="0"/>
    <x v="1"/>
  </r>
  <r>
    <d v="2014-04-30T00:00:00"/>
    <x v="0"/>
    <n v="4"/>
    <s v="R03"/>
    <x v="6"/>
    <n v="97"/>
    <x v="0"/>
    <x v="2"/>
  </r>
  <r>
    <d v="2014-04-30T00:00:00"/>
    <x v="0"/>
    <n v="4"/>
    <s v="R06"/>
    <x v="7"/>
    <n v="73.7"/>
    <x v="0"/>
    <x v="2"/>
  </r>
  <r>
    <d v="2014-05-31T00:00:00"/>
    <x v="0"/>
    <n v="5"/>
    <s v="M01AB"/>
    <x v="0"/>
    <n v="101.79"/>
    <x v="0"/>
    <x v="0"/>
  </r>
  <r>
    <d v="2014-05-31T00:00:00"/>
    <x v="0"/>
    <n v="5"/>
    <s v="M01AE"/>
    <x v="1"/>
    <n v="119.93"/>
    <x v="0"/>
    <x v="0"/>
  </r>
  <r>
    <d v="2014-05-31T00:00:00"/>
    <x v="0"/>
    <n v="5"/>
    <s v="N02BA"/>
    <x v="2"/>
    <n v="132.1"/>
    <x v="0"/>
    <x v="1"/>
  </r>
  <r>
    <d v="2014-05-31T00:00:00"/>
    <x v="0"/>
    <n v="5"/>
    <s v="N02BE"/>
    <x v="3"/>
    <n v="628.78"/>
    <x v="0"/>
    <x v="1"/>
  </r>
  <r>
    <d v="2014-05-31T00:00:00"/>
    <x v="0"/>
    <n v="5"/>
    <s v="N05B"/>
    <x v="4"/>
    <n v="270"/>
    <x v="0"/>
    <x v="1"/>
  </r>
  <r>
    <d v="2014-05-31T00:00:00"/>
    <x v="0"/>
    <n v="5"/>
    <s v="N05C"/>
    <x v="5"/>
    <n v="23"/>
    <x v="0"/>
    <x v="1"/>
  </r>
  <r>
    <d v="2014-05-31T00:00:00"/>
    <x v="0"/>
    <n v="5"/>
    <s v="R03"/>
    <x v="6"/>
    <n v="107"/>
    <x v="0"/>
    <x v="2"/>
  </r>
  <r>
    <d v="2014-05-31T00:00:00"/>
    <x v="0"/>
    <n v="5"/>
    <s v="R06"/>
    <x v="7"/>
    <n v="123.7"/>
    <x v="0"/>
    <x v="2"/>
  </r>
  <r>
    <d v="2014-06-30T00:00:00"/>
    <x v="0"/>
    <n v="6"/>
    <s v="M01AB"/>
    <x v="0"/>
    <n v="112.07"/>
    <x v="0"/>
    <x v="0"/>
  </r>
  <r>
    <d v="2014-06-30T00:00:00"/>
    <x v="0"/>
    <n v="6"/>
    <s v="M01AE"/>
    <x v="1"/>
    <n v="94.71"/>
    <x v="0"/>
    <x v="0"/>
  </r>
  <r>
    <d v="2014-06-30T00:00:00"/>
    <x v="0"/>
    <n v="6"/>
    <s v="N02BA"/>
    <x v="2"/>
    <n v="122.9"/>
    <x v="0"/>
    <x v="1"/>
  </r>
  <r>
    <d v="2014-06-30T00:00:00"/>
    <x v="0"/>
    <n v="6"/>
    <s v="N02BE"/>
    <x v="3"/>
    <n v="548.23"/>
    <x v="0"/>
    <x v="1"/>
  </r>
  <r>
    <d v="2014-06-30T00:00:00"/>
    <x v="0"/>
    <n v="6"/>
    <s v="N05B"/>
    <x v="4"/>
    <n v="323"/>
    <x v="0"/>
    <x v="1"/>
  </r>
  <r>
    <d v="2014-06-30T00:00:00"/>
    <x v="0"/>
    <n v="6"/>
    <s v="N05C"/>
    <x v="5"/>
    <n v="23"/>
    <x v="0"/>
    <x v="1"/>
  </r>
  <r>
    <d v="2014-06-30T00:00:00"/>
    <x v="0"/>
    <n v="6"/>
    <s v="R03"/>
    <x v="6"/>
    <n v="57"/>
    <x v="0"/>
    <x v="2"/>
  </r>
  <r>
    <d v="2014-06-30T00:00:00"/>
    <x v="0"/>
    <n v="6"/>
    <s v="R06"/>
    <x v="7"/>
    <n v="109.3"/>
    <x v="0"/>
    <x v="2"/>
  </r>
  <r>
    <d v="2014-07-31T00:00:00"/>
    <x v="0"/>
    <n v="7"/>
    <s v="M01AB"/>
    <x v="0"/>
    <n v="117.06"/>
    <x v="0"/>
    <x v="0"/>
  </r>
  <r>
    <d v="2014-07-31T00:00:00"/>
    <x v="0"/>
    <n v="7"/>
    <s v="M01AE"/>
    <x v="1"/>
    <n v="95.01"/>
    <x v="0"/>
    <x v="0"/>
  </r>
  <r>
    <d v="2014-07-31T00:00:00"/>
    <x v="0"/>
    <n v="7"/>
    <s v="N02BA"/>
    <x v="2"/>
    <n v="129.30000000000001"/>
    <x v="0"/>
    <x v="1"/>
  </r>
  <r>
    <d v="2014-07-31T00:00:00"/>
    <x v="0"/>
    <n v="7"/>
    <s v="N02BE"/>
    <x v="3"/>
    <n v="491.9"/>
    <x v="0"/>
    <x v="1"/>
  </r>
  <r>
    <d v="2014-07-31T00:00:00"/>
    <x v="0"/>
    <n v="7"/>
    <s v="N05B"/>
    <x v="4"/>
    <n v="348"/>
    <x v="0"/>
    <x v="1"/>
  </r>
  <r>
    <d v="2014-07-31T00:00:00"/>
    <x v="0"/>
    <n v="7"/>
    <s v="N05C"/>
    <x v="5"/>
    <n v="21"/>
    <x v="0"/>
    <x v="1"/>
  </r>
  <r>
    <d v="2014-07-31T00:00:00"/>
    <x v="0"/>
    <n v="7"/>
    <s v="R03"/>
    <x v="6"/>
    <n v="61"/>
    <x v="0"/>
    <x v="2"/>
  </r>
  <r>
    <d v="2014-07-31T00:00:00"/>
    <x v="0"/>
    <n v="7"/>
    <s v="R06"/>
    <x v="7"/>
    <n v="69.099999999999994"/>
    <x v="0"/>
    <x v="2"/>
  </r>
  <r>
    <d v="2014-08-31T00:00:00"/>
    <x v="0"/>
    <n v="8"/>
    <s v="M01AB"/>
    <x v="0"/>
    <n v="124.79"/>
    <x v="0"/>
    <x v="0"/>
  </r>
  <r>
    <d v="2014-08-31T00:00:00"/>
    <x v="0"/>
    <n v="8"/>
    <s v="M01AE"/>
    <x v="1"/>
    <n v="99.78"/>
    <x v="0"/>
    <x v="0"/>
  </r>
  <r>
    <d v="2014-08-31T00:00:00"/>
    <x v="0"/>
    <n v="8"/>
    <s v="N02BA"/>
    <x v="2"/>
    <n v="123.8"/>
    <x v="0"/>
    <x v="1"/>
  </r>
  <r>
    <d v="2014-08-31T00:00:00"/>
    <x v="0"/>
    <n v="8"/>
    <s v="N02BE"/>
    <x v="3"/>
    <n v="547.35"/>
    <x v="0"/>
    <x v="1"/>
  </r>
  <r>
    <d v="2014-08-31T00:00:00"/>
    <x v="0"/>
    <n v="8"/>
    <s v="N05B"/>
    <x v="4"/>
    <n v="420"/>
    <x v="0"/>
    <x v="1"/>
  </r>
  <r>
    <d v="2014-08-31T00:00:00"/>
    <x v="0"/>
    <n v="8"/>
    <s v="N05C"/>
    <x v="5"/>
    <n v="29"/>
    <x v="0"/>
    <x v="1"/>
  </r>
  <r>
    <d v="2014-08-31T00:00:00"/>
    <x v="0"/>
    <n v="8"/>
    <s v="R03"/>
    <x v="6"/>
    <n v="37"/>
    <x v="0"/>
    <x v="2"/>
  </r>
  <r>
    <d v="2014-08-31T00:00:00"/>
    <x v="0"/>
    <n v="8"/>
    <s v="R06"/>
    <x v="7"/>
    <n v="70.8"/>
    <x v="0"/>
    <x v="2"/>
  </r>
  <r>
    <d v="2014-09-30T00:00:00"/>
    <x v="0"/>
    <n v="9"/>
    <s v="M01AB"/>
    <x v="0"/>
    <n v="108.78"/>
    <x v="0"/>
    <x v="0"/>
  </r>
  <r>
    <d v="2014-09-30T00:00:00"/>
    <x v="0"/>
    <n v="9"/>
    <s v="M01AE"/>
    <x v="1"/>
    <n v="109.09"/>
    <x v="0"/>
    <x v="0"/>
  </r>
  <r>
    <d v="2014-09-30T00:00:00"/>
    <x v="0"/>
    <n v="9"/>
    <s v="N02BA"/>
    <x v="2"/>
    <n v="112.1"/>
    <x v="0"/>
    <x v="1"/>
  </r>
  <r>
    <d v="2014-09-30T00:00:00"/>
    <x v="0"/>
    <n v="9"/>
    <s v="N02BE"/>
    <x v="3"/>
    <n v="887.82"/>
    <x v="0"/>
    <x v="1"/>
  </r>
  <r>
    <d v="2014-09-30T00:00:00"/>
    <x v="0"/>
    <n v="9"/>
    <s v="N05B"/>
    <x v="4"/>
    <n v="399"/>
    <x v="0"/>
    <x v="1"/>
  </r>
  <r>
    <d v="2014-09-30T00:00:00"/>
    <x v="0"/>
    <n v="9"/>
    <s v="N05C"/>
    <x v="5"/>
    <n v="14"/>
    <x v="0"/>
    <x v="1"/>
  </r>
  <r>
    <d v="2014-09-30T00:00:00"/>
    <x v="0"/>
    <n v="9"/>
    <s v="R03"/>
    <x v="6"/>
    <n v="115"/>
    <x v="0"/>
    <x v="2"/>
  </r>
  <r>
    <d v="2014-09-30T00:00:00"/>
    <x v="0"/>
    <n v="9"/>
    <s v="R06"/>
    <x v="7"/>
    <n v="58.8"/>
    <x v="0"/>
    <x v="2"/>
  </r>
  <r>
    <d v="2014-10-31T00:00:00"/>
    <x v="0"/>
    <n v="10"/>
    <s v="M01AB"/>
    <x v="0"/>
    <n v="101.19"/>
    <x v="0"/>
    <x v="0"/>
  </r>
  <r>
    <d v="2014-10-31T00:00:00"/>
    <x v="0"/>
    <n v="10"/>
    <s v="M01AE"/>
    <x v="1"/>
    <n v="108.75"/>
    <x v="0"/>
    <x v="0"/>
  </r>
  <r>
    <d v="2014-10-31T00:00:00"/>
    <x v="0"/>
    <n v="10"/>
    <s v="N02BA"/>
    <x v="2"/>
    <n v="140.54"/>
    <x v="0"/>
    <x v="1"/>
  </r>
  <r>
    <d v="2014-10-31T00:00:00"/>
    <x v="0"/>
    <n v="10"/>
    <s v="N02BE"/>
    <x v="3"/>
    <n v="1073.1400000000001"/>
    <x v="0"/>
    <x v="1"/>
  </r>
  <r>
    <d v="2014-10-31T00:00:00"/>
    <x v="0"/>
    <n v="10"/>
    <s v="N05B"/>
    <x v="4"/>
    <n v="432.06"/>
    <x v="0"/>
    <x v="1"/>
  </r>
  <r>
    <d v="2014-10-31T00:00:00"/>
    <x v="0"/>
    <n v="10"/>
    <s v="N05C"/>
    <x v="5"/>
    <n v="19.62"/>
    <x v="0"/>
    <x v="1"/>
  </r>
  <r>
    <d v="2014-10-31T00:00:00"/>
    <x v="0"/>
    <n v="10"/>
    <s v="R03"/>
    <x v="6"/>
    <n v="160"/>
    <x v="0"/>
    <x v="2"/>
  </r>
  <r>
    <d v="2014-10-31T00:00:00"/>
    <x v="0"/>
    <n v="10"/>
    <s v="R06"/>
    <x v="7"/>
    <n v="46.69"/>
    <x v="0"/>
    <x v="2"/>
  </r>
  <r>
    <d v="2014-11-30T00:00:00"/>
    <x v="0"/>
    <n v="11"/>
    <s v="M01AB"/>
    <x v="0"/>
    <n v="138.08000000000001"/>
    <x v="0"/>
    <x v="0"/>
  </r>
  <r>
    <d v="2014-11-30T00:00:00"/>
    <x v="0"/>
    <n v="11"/>
    <s v="M01AE"/>
    <x v="1"/>
    <n v="100.86"/>
    <x v="0"/>
    <x v="0"/>
  </r>
  <r>
    <d v="2014-11-30T00:00:00"/>
    <x v="0"/>
    <n v="11"/>
    <s v="N02BA"/>
    <x v="2"/>
    <n v="142.69999999999999"/>
    <x v="0"/>
    <x v="1"/>
  </r>
  <r>
    <d v="2014-11-30T00:00:00"/>
    <x v="0"/>
    <n v="11"/>
    <s v="N02BE"/>
    <x v="3"/>
    <n v="723.8"/>
    <x v="0"/>
    <x v="1"/>
  </r>
  <r>
    <d v="2014-11-30T00:00:00"/>
    <x v="0"/>
    <n v="11"/>
    <s v="N05B"/>
    <x v="4"/>
    <n v="489"/>
    <x v="0"/>
    <x v="1"/>
  </r>
  <r>
    <d v="2014-11-30T00:00:00"/>
    <x v="0"/>
    <n v="11"/>
    <s v="N05C"/>
    <x v="5"/>
    <n v="19"/>
    <x v="0"/>
    <x v="1"/>
  </r>
  <r>
    <d v="2014-11-30T00:00:00"/>
    <x v="0"/>
    <n v="11"/>
    <s v="R03"/>
    <x v="6"/>
    <n v="112"/>
    <x v="0"/>
    <x v="2"/>
  </r>
  <r>
    <d v="2014-11-30T00:00:00"/>
    <x v="0"/>
    <n v="11"/>
    <s v="R06"/>
    <x v="7"/>
    <n v="45.2"/>
    <x v="0"/>
    <x v="2"/>
  </r>
  <r>
    <d v="2014-12-31T00:00:00"/>
    <x v="0"/>
    <n v="12"/>
    <s v="M01AB"/>
    <x v="0"/>
    <n v="131.9"/>
    <x v="0"/>
    <x v="0"/>
  </r>
  <r>
    <d v="2014-12-31T00:00:00"/>
    <x v="0"/>
    <n v="12"/>
    <s v="M01AE"/>
    <x v="1"/>
    <n v="121.4"/>
    <x v="0"/>
    <x v="0"/>
  </r>
  <r>
    <d v="2014-12-31T00:00:00"/>
    <x v="0"/>
    <n v="12"/>
    <s v="N02BA"/>
    <x v="2"/>
    <n v="111.12"/>
    <x v="0"/>
    <x v="1"/>
  </r>
  <r>
    <d v="2014-12-31T00:00:00"/>
    <x v="0"/>
    <n v="12"/>
    <s v="N02BE"/>
    <x v="3"/>
    <n v="1015.66"/>
    <x v="0"/>
    <x v="1"/>
  </r>
  <r>
    <d v="2014-12-31T00:00:00"/>
    <x v="0"/>
    <n v="12"/>
    <s v="N05B"/>
    <x v="4"/>
    <n v="492"/>
    <x v="0"/>
    <x v="1"/>
  </r>
  <r>
    <d v="2014-12-31T00:00:00"/>
    <x v="0"/>
    <n v="12"/>
    <s v="N05C"/>
    <x v="5"/>
    <n v="25"/>
    <x v="0"/>
    <x v="1"/>
  </r>
  <r>
    <d v="2014-12-31T00:00:00"/>
    <x v="0"/>
    <n v="12"/>
    <s v="R03"/>
    <x v="6"/>
    <n v="163"/>
    <x v="0"/>
    <x v="2"/>
  </r>
  <r>
    <d v="2014-12-31T00:00:00"/>
    <x v="0"/>
    <n v="12"/>
    <s v="R06"/>
    <x v="7"/>
    <n v="33.4"/>
    <x v="0"/>
    <x v="2"/>
  </r>
  <r>
    <d v="2015-01-31T00:00:00"/>
    <x v="1"/>
    <n v="1"/>
    <s v="M01AB"/>
    <x v="0"/>
    <n v="135.91"/>
    <x v="0"/>
    <x v="0"/>
  </r>
  <r>
    <d v="2015-01-31T00:00:00"/>
    <x v="1"/>
    <n v="1"/>
    <s v="M01AE"/>
    <x v="1"/>
    <n v="130.35"/>
    <x v="0"/>
    <x v="0"/>
  </r>
  <r>
    <d v="2015-01-31T00:00:00"/>
    <x v="1"/>
    <n v="1"/>
    <s v="N02BA"/>
    <x v="2"/>
    <n v="141"/>
    <x v="0"/>
    <x v="1"/>
  </r>
  <r>
    <d v="2015-01-31T00:00:00"/>
    <x v="1"/>
    <n v="1"/>
    <s v="N02BE"/>
    <x v="3"/>
    <n v="1044.24"/>
    <x v="0"/>
    <x v="1"/>
  </r>
  <r>
    <d v="2015-01-31T00:00:00"/>
    <x v="1"/>
    <n v="1"/>
    <s v="N05B"/>
    <x v="4"/>
    <n v="463"/>
    <x v="0"/>
    <x v="1"/>
  </r>
  <r>
    <d v="2015-01-31T00:00:00"/>
    <x v="1"/>
    <n v="1"/>
    <s v="N05C"/>
    <x v="5"/>
    <n v="24"/>
    <x v="0"/>
    <x v="1"/>
  </r>
  <r>
    <d v="2015-01-31T00:00:00"/>
    <x v="1"/>
    <n v="1"/>
    <s v="R03"/>
    <x v="6"/>
    <n v="177.25"/>
    <x v="0"/>
    <x v="2"/>
  </r>
  <r>
    <d v="2015-01-31T00:00:00"/>
    <x v="1"/>
    <n v="1"/>
    <s v="R06"/>
    <x v="7"/>
    <n v="42"/>
    <x v="0"/>
    <x v="2"/>
  </r>
  <r>
    <d v="2015-02-28T00:00:00"/>
    <x v="1"/>
    <n v="2"/>
    <s v="M01AB"/>
    <x v="0"/>
    <n v="115.71"/>
    <x v="0"/>
    <x v="0"/>
  </r>
  <r>
    <d v="2015-02-28T00:00:00"/>
    <x v="1"/>
    <n v="2"/>
    <s v="M01AE"/>
    <x v="1"/>
    <n v="123.74"/>
    <x v="0"/>
    <x v="0"/>
  </r>
  <r>
    <d v="2015-02-28T00:00:00"/>
    <x v="1"/>
    <n v="2"/>
    <s v="N02BA"/>
    <x v="2"/>
    <n v="131.83000000000001"/>
    <x v="0"/>
    <x v="1"/>
  </r>
  <r>
    <d v="2015-02-28T00:00:00"/>
    <x v="1"/>
    <n v="2"/>
    <s v="N02BE"/>
    <x v="3"/>
    <n v="953.25"/>
    <x v="0"/>
    <x v="1"/>
  </r>
  <r>
    <d v="2015-02-28T00:00:00"/>
    <x v="1"/>
    <n v="2"/>
    <s v="N05B"/>
    <x v="4"/>
    <n v="243"/>
    <x v="0"/>
    <x v="1"/>
  </r>
  <r>
    <d v="2015-02-28T00:00:00"/>
    <x v="1"/>
    <n v="2"/>
    <s v="N05C"/>
    <x v="5"/>
    <n v="9"/>
    <x v="0"/>
    <x v="1"/>
  </r>
  <r>
    <d v="2015-02-28T00:00:00"/>
    <x v="1"/>
    <n v="2"/>
    <s v="R03"/>
    <x v="6"/>
    <n v="208"/>
    <x v="0"/>
    <x v="2"/>
  </r>
  <r>
    <d v="2015-02-28T00:00:00"/>
    <x v="1"/>
    <n v="2"/>
    <s v="R06"/>
    <x v="7"/>
    <n v="47"/>
    <x v="0"/>
    <x v="2"/>
  </r>
  <r>
    <d v="2015-03-31T00:00:00"/>
    <x v="1"/>
    <n v="3"/>
    <s v="M01AB"/>
    <x v="0"/>
    <n v="156.04"/>
    <x v="0"/>
    <x v="0"/>
  </r>
  <r>
    <d v="2015-03-31T00:00:00"/>
    <x v="1"/>
    <n v="3"/>
    <s v="M01AE"/>
    <x v="1"/>
    <n v="129.38999999999999"/>
    <x v="0"/>
    <x v="0"/>
  </r>
  <r>
    <d v="2015-03-31T00:00:00"/>
    <x v="1"/>
    <n v="3"/>
    <s v="N02BA"/>
    <x v="2"/>
    <n v="133.80000000000001"/>
    <x v="0"/>
    <x v="1"/>
  </r>
  <r>
    <d v="2015-03-31T00:00:00"/>
    <x v="1"/>
    <n v="3"/>
    <s v="N02BE"/>
    <x v="3"/>
    <n v="1084.8499999999999"/>
    <x v="0"/>
    <x v="1"/>
  </r>
  <r>
    <d v="2015-03-31T00:00:00"/>
    <x v="1"/>
    <n v="3"/>
    <s v="N05B"/>
    <x v="4"/>
    <n v="208"/>
    <x v="0"/>
    <x v="1"/>
  </r>
  <r>
    <d v="2015-03-31T00:00:00"/>
    <x v="1"/>
    <n v="3"/>
    <s v="N05C"/>
    <x v="5"/>
    <n v="13"/>
    <x v="0"/>
    <x v="1"/>
  </r>
  <r>
    <d v="2015-03-31T00:00:00"/>
    <x v="1"/>
    <n v="3"/>
    <s v="R03"/>
    <x v="6"/>
    <n v="170"/>
    <x v="0"/>
    <x v="2"/>
  </r>
  <r>
    <d v="2015-03-31T00:00:00"/>
    <x v="1"/>
    <n v="3"/>
    <s v="R06"/>
    <x v="7"/>
    <n v="54"/>
    <x v="0"/>
    <x v="2"/>
  </r>
  <r>
    <d v="2015-04-30T00:00:00"/>
    <x v="1"/>
    <n v="4"/>
    <s v="M01AB"/>
    <x v="0"/>
    <n v="154.5"/>
    <x v="0"/>
    <x v="0"/>
  </r>
  <r>
    <d v="2015-04-30T00:00:00"/>
    <x v="1"/>
    <n v="4"/>
    <s v="M01AE"/>
    <x v="1"/>
    <n v="101.11"/>
    <x v="0"/>
    <x v="0"/>
  </r>
  <r>
    <d v="2015-04-30T00:00:00"/>
    <x v="1"/>
    <n v="4"/>
    <s v="N02BA"/>
    <x v="2"/>
    <n v="122.1"/>
    <x v="0"/>
    <x v="1"/>
  </r>
  <r>
    <d v="2015-04-30T00:00:00"/>
    <x v="1"/>
    <n v="4"/>
    <s v="N02BE"/>
    <x v="3"/>
    <n v="940.17"/>
    <x v="0"/>
    <x v="1"/>
  </r>
  <r>
    <d v="2015-04-30T00:00:00"/>
    <x v="1"/>
    <n v="4"/>
    <s v="N05B"/>
    <x v="4"/>
    <n v="192"/>
    <x v="0"/>
    <x v="1"/>
  </r>
  <r>
    <d v="2015-04-30T00:00:00"/>
    <x v="1"/>
    <n v="4"/>
    <s v="N05C"/>
    <x v="5"/>
    <n v="5"/>
    <x v="0"/>
    <x v="1"/>
  </r>
  <r>
    <d v="2015-04-30T00:00:00"/>
    <x v="1"/>
    <n v="4"/>
    <s v="R03"/>
    <x v="6"/>
    <n v="97"/>
    <x v="0"/>
    <x v="2"/>
  </r>
  <r>
    <d v="2015-04-30T00:00:00"/>
    <x v="1"/>
    <n v="4"/>
    <s v="R06"/>
    <x v="7"/>
    <n v="112"/>
    <x v="0"/>
    <x v="2"/>
  </r>
  <r>
    <d v="2015-05-31T00:00:00"/>
    <x v="1"/>
    <n v="5"/>
    <s v="M01AB"/>
    <x v="0"/>
    <n v="160.02000000000001"/>
    <x v="0"/>
    <x v="0"/>
  </r>
  <r>
    <d v="2015-05-31T00:00:00"/>
    <x v="1"/>
    <n v="5"/>
    <s v="M01AE"/>
    <x v="1"/>
    <n v="119.12"/>
    <x v="0"/>
    <x v="0"/>
  </r>
  <r>
    <d v="2015-05-31T00:00:00"/>
    <x v="1"/>
    <n v="5"/>
    <s v="N02BA"/>
    <x v="2"/>
    <n v="136.04"/>
    <x v="0"/>
    <x v="1"/>
  </r>
  <r>
    <d v="2015-05-31T00:00:00"/>
    <x v="1"/>
    <n v="5"/>
    <s v="N02BE"/>
    <x v="3"/>
    <n v="765.9"/>
    <x v="0"/>
    <x v="1"/>
  </r>
  <r>
    <d v="2015-05-31T00:00:00"/>
    <x v="1"/>
    <n v="5"/>
    <s v="N05B"/>
    <x v="4"/>
    <n v="194"/>
    <x v="0"/>
    <x v="1"/>
  </r>
  <r>
    <d v="2015-05-31T00:00:00"/>
    <x v="1"/>
    <n v="5"/>
    <s v="N05C"/>
    <x v="5"/>
    <n v="10"/>
    <x v="0"/>
    <x v="1"/>
  </r>
  <r>
    <d v="2015-05-31T00:00:00"/>
    <x v="1"/>
    <n v="5"/>
    <s v="R03"/>
    <x v="6"/>
    <n v="100"/>
    <x v="0"/>
    <x v="2"/>
  </r>
  <r>
    <d v="2015-05-31T00:00:00"/>
    <x v="1"/>
    <n v="5"/>
    <s v="R06"/>
    <x v="7"/>
    <n v="159.5"/>
    <x v="0"/>
    <x v="2"/>
  </r>
  <r>
    <d v="2015-06-30T00:00:00"/>
    <x v="1"/>
    <n v="6"/>
    <s v="M01AB"/>
    <x v="0"/>
    <n v="151.87"/>
    <x v="0"/>
    <x v="0"/>
  </r>
  <r>
    <d v="2015-06-30T00:00:00"/>
    <x v="1"/>
    <n v="6"/>
    <s v="M01AE"/>
    <x v="1"/>
    <n v="113.69"/>
    <x v="0"/>
    <x v="0"/>
  </r>
  <r>
    <d v="2015-06-30T00:00:00"/>
    <x v="1"/>
    <n v="6"/>
    <s v="N02BA"/>
    <x v="2"/>
    <n v="145.46"/>
    <x v="0"/>
    <x v="1"/>
  </r>
  <r>
    <d v="2015-06-30T00:00:00"/>
    <x v="1"/>
    <n v="6"/>
    <s v="N02BE"/>
    <x v="3"/>
    <n v="715.41"/>
    <x v="0"/>
    <x v="1"/>
  </r>
  <r>
    <d v="2015-06-30T00:00:00"/>
    <x v="1"/>
    <n v="6"/>
    <s v="N05B"/>
    <x v="4"/>
    <n v="217"/>
    <x v="0"/>
    <x v="1"/>
  </r>
  <r>
    <d v="2015-06-30T00:00:00"/>
    <x v="1"/>
    <n v="6"/>
    <s v="N05C"/>
    <x v="5"/>
    <n v="12"/>
    <x v="0"/>
    <x v="1"/>
  </r>
  <r>
    <d v="2015-06-30T00:00:00"/>
    <x v="1"/>
    <n v="6"/>
    <s v="R03"/>
    <x v="6"/>
    <n v="193"/>
    <x v="0"/>
    <x v="2"/>
  </r>
  <r>
    <d v="2015-06-30T00:00:00"/>
    <x v="1"/>
    <n v="6"/>
    <s v="R06"/>
    <x v="7"/>
    <n v="125.8"/>
    <x v="0"/>
    <x v="2"/>
  </r>
  <r>
    <d v="2015-07-31T00:00:00"/>
    <x v="1"/>
    <n v="7"/>
    <s v="M01AB"/>
    <x v="0"/>
    <n v="175.61"/>
    <x v="0"/>
    <x v="0"/>
  </r>
  <r>
    <d v="2015-07-31T00:00:00"/>
    <x v="1"/>
    <n v="7"/>
    <s v="M01AE"/>
    <x v="1"/>
    <n v="113.81"/>
    <x v="0"/>
    <x v="0"/>
  </r>
  <r>
    <d v="2015-07-31T00:00:00"/>
    <x v="1"/>
    <n v="7"/>
    <s v="N02BA"/>
    <x v="2"/>
    <n v="125.5"/>
    <x v="0"/>
    <x v="1"/>
  </r>
  <r>
    <d v="2015-07-31T00:00:00"/>
    <x v="1"/>
    <n v="7"/>
    <s v="N02BE"/>
    <x v="3"/>
    <n v="708.83"/>
    <x v="0"/>
    <x v="1"/>
  </r>
  <r>
    <d v="2015-07-31T00:00:00"/>
    <x v="1"/>
    <n v="7"/>
    <s v="N05B"/>
    <x v="4"/>
    <n v="203"/>
    <x v="0"/>
    <x v="1"/>
  </r>
  <r>
    <d v="2015-07-31T00:00:00"/>
    <x v="1"/>
    <n v="7"/>
    <s v="N05C"/>
    <x v="5"/>
    <n v="6"/>
    <x v="0"/>
    <x v="1"/>
  </r>
  <r>
    <d v="2015-07-31T00:00:00"/>
    <x v="1"/>
    <n v="7"/>
    <s v="R03"/>
    <x v="6"/>
    <n v="60"/>
    <x v="0"/>
    <x v="2"/>
  </r>
  <r>
    <d v="2015-07-31T00:00:00"/>
    <x v="1"/>
    <n v="7"/>
    <s v="R06"/>
    <x v="7"/>
    <n v="130.30000000000001"/>
    <x v="0"/>
    <x v="2"/>
  </r>
  <r>
    <d v="2015-08-31T00:00:00"/>
    <x v="1"/>
    <n v="8"/>
    <s v="M01AB"/>
    <x v="0"/>
    <n v="181.69"/>
    <x v="0"/>
    <x v="0"/>
  </r>
  <r>
    <d v="2015-08-31T00:00:00"/>
    <x v="1"/>
    <n v="8"/>
    <s v="M01AE"/>
    <x v="1"/>
    <n v="144.52000000000001"/>
    <x v="0"/>
    <x v="0"/>
  </r>
  <r>
    <d v="2015-08-31T00:00:00"/>
    <x v="1"/>
    <n v="8"/>
    <s v="N02BA"/>
    <x v="2"/>
    <n v="133.4"/>
    <x v="0"/>
    <x v="1"/>
  </r>
  <r>
    <d v="2015-08-31T00:00:00"/>
    <x v="1"/>
    <n v="8"/>
    <s v="N02BE"/>
    <x v="3"/>
    <n v="790.79"/>
    <x v="0"/>
    <x v="1"/>
  </r>
  <r>
    <d v="2015-08-31T00:00:00"/>
    <x v="1"/>
    <n v="8"/>
    <s v="N05B"/>
    <x v="4"/>
    <n v="265.5"/>
    <x v="0"/>
    <x v="1"/>
  </r>
  <r>
    <d v="2015-08-31T00:00:00"/>
    <x v="1"/>
    <n v="8"/>
    <s v="N05C"/>
    <x v="5"/>
    <n v="15"/>
    <x v="0"/>
    <x v="1"/>
  </r>
  <r>
    <d v="2015-08-31T00:00:00"/>
    <x v="1"/>
    <n v="8"/>
    <s v="R03"/>
    <x v="6"/>
    <n v="45"/>
    <x v="0"/>
    <x v="2"/>
  </r>
  <r>
    <d v="2015-08-31T00:00:00"/>
    <x v="1"/>
    <n v="8"/>
    <s v="R06"/>
    <x v="7"/>
    <n v="83.7"/>
    <x v="0"/>
    <x v="2"/>
  </r>
  <r>
    <d v="2015-09-30T00:00:00"/>
    <x v="1"/>
    <n v="9"/>
    <s v="M01AB"/>
    <x v="0"/>
    <n v="166.22"/>
    <x v="0"/>
    <x v="0"/>
  </r>
  <r>
    <d v="2015-09-30T00:00:00"/>
    <x v="1"/>
    <n v="9"/>
    <s v="M01AE"/>
    <x v="1"/>
    <n v="134.12"/>
    <x v="0"/>
    <x v="0"/>
  </r>
  <r>
    <d v="2015-09-30T00:00:00"/>
    <x v="1"/>
    <n v="9"/>
    <s v="N02BA"/>
    <x v="2"/>
    <n v="110.4"/>
    <x v="0"/>
    <x v="1"/>
  </r>
  <r>
    <d v="2015-09-30T00:00:00"/>
    <x v="1"/>
    <n v="9"/>
    <s v="N02BE"/>
    <x v="3"/>
    <n v="852.12"/>
    <x v="0"/>
    <x v="1"/>
  </r>
  <r>
    <d v="2015-09-30T00:00:00"/>
    <x v="1"/>
    <n v="9"/>
    <s v="N05B"/>
    <x v="4"/>
    <n v="243.5"/>
    <x v="0"/>
    <x v="1"/>
  </r>
  <r>
    <d v="2015-09-30T00:00:00"/>
    <x v="1"/>
    <n v="9"/>
    <s v="N05C"/>
    <x v="5"/>
    <n v="11"/>
    <x v="0"/>
    <x v="1"/>
  </r>
  <r>
    <d v="2015-09-30T00:00:00"/>
    <x v="1"/>
    <n v="9"/>
    <s v="R03"/>
    <x v="6"/>
    <n v="91"/>
    <x v="0"/>
    <x v="2"/>
  </r>
  <r>
    <d v="2015-09-30T00:00:00"/>
    <x v="1"/>
    <n v="9"/>
    <s v="R06"/>
    <x v="7"/>
    <n v="71"/>
    <x v="0"/>
    <x v="2"/>
  </r>
  <r>
    <d v="2015-10-31T00:00:00"/>
    <x v="1"/>
    <n v="10"/>
    <s v="M01AB"/>
    <x v="0"/>
    <n v="195.81"/>
    <x v="0"/>
    <x v="0"/>
  </r>
  <r>
    <d v="2015-10-31T00:00:00"/>
    <x v="1"/>
    <n v="10"/>
    <s v="M01AE"/>
    <x v="1"/>
    <n v="127.23"/>
    <x v="0"/>
    <x v="0"/>
  </r>
  <r>
    <d v="2015-10-31T00:00:00"/>
    <x v="1"/>
    <n v="10"/>
    <s v="N02BA"/>
    <x v="2"/>
    <n v="146.19999999999999"/>
    <x v="0"/>
    <x v="1"/>
  </r>
  <r>
    <d v="2015-10-31T00:00:00"/>
    <x v="1"/>
    <n v="10"/>
    <s v="N02BE"/>
    <x v="3"/>
    <n v="1574.34"/>
    <x v="0"/>
    <x v="1"/>
  </r>
  <r>
    <d v="2015-10-31T00:00:00"/>
    <x v="1"/>
    <n v="10"/>
    <s v="N05B"/>
    <x v="4"/>
    <n v="222"/>
    <x v="0"/>
    <x v="1"/>
  </r>
  <r>
    <d v="2015-10-31T00:00:00"/>
    <x v="1"/>
    <n v="10"/>
    <s v="N05C"/>
    <x v="5"/>
    <n v="8"/>
    <x v="0"/>
    <x v="1"/>
  </r>
  <r>
    <d v="2015-10-31T00:00:00"/>
    <x v="1"/>
    <n v="10"/>
    <s v="R03"/>
    <x v="6"/>
    <n v="184"/>
    <x v="0"/>
    <x v="2"/>
  </r>
  <r>
    <d v="2015-10-31T00:00:00"/>
    <x v="1"/>
    <n v="10"/>
    <s v="R06"/>
    <x v="7"/>
    <n v="72"/>
    <x v="0"/>
    <x v="2"/>
  </r>
  <r>
    <d v="2015-11-30T00:00:00"/>
    <x v="1"/>
    <n v="11"/>
    <s v="M01AB"/>
    <x v="0"/>
    <n v="142.78"/>
    <x v="0"/>
    <x v="0"/>
  </r>
  <r>
    <d v="2015-11-30T00:00:00"/>
    <x v="1"/>
    <n v="11"/>
    <s v="M01AE"/>
    <x v="1"/>
    <n v="128.22999999999999"/>
    <x v="0"/>
    <x v="0"/>
  </r>
  <r>
    <d v="2015-11-30T00:00:00"/>
    <x v="1"/>
    <n v="11"/>
    <s v="N02BA"/>
    <x v="2"/>
    <n v="145.9"/>
    <x v="0"/>
    <x v="1"/>
  </r>
  <r>
    <d v="2015-11-30T00:00:00"/>
    <x v="1"/>
    <n v="11"/>
    <s v="N02BE"/>
    <x v="3"/>
    <n v="1234.97"/>
    <x v="0"/>
    <x v="1"/>
  </r>
  <r>
    <d v="2015-11-30T00:00:00"/>
    <x v="1"/>
    <n v="11"/>
    <s v="N05B"/>
    <x v="4"/>
    <n v="228"/>
    <x v="0"/>
    <x v="1"/>
  </r>
  <r>
    <d v="2015-11-30T00:00:00"/>
    <x v="1"/>
    <n v="11"/>
    <s v="N05C"/>
    <x v="5"/>
    <n v="18"/>
    <x v="0"/>
    <x v="1"/>
  </r>
  <r>
    <d v="2015-11-30T00:00:00"/>
    <x v="1"/>
    <n v="11"/>
    <s v="R03"/>
    <x v="6"/>
    <n v="165"/>
    <x v="0"/>
    <x v="2"/>
  </r>
  <r>
    <d v="2015-11-30T00:00:00"/>
    <x v="1"/>
    <n v="11"/>
    <s v="R06"/>
    <x v="7"/>
    <n v="44"/>
    <x v="0"/>
    <x v="2"/>
  </r>
  <r>
    <d v="2015-12-31T00:00:00"/>
    <x v="1"/>
    <n v="12"/>
    <s v="M01AB"/>
    <x v="0"/>
    <n v="159.46"/>
    <x v="0"/>
    <x v="0"/>
  </r>
  <r>
    <d v="2015-12-31T00:00:00"/>
    <x v="1"/>
    <n v="12"/>
    <s v="M01AE"/>
    <x v="1"/>
    <n v="131.29"/>
    <x v="0"/>
    <x v="0"/>
  </r>
  <r>
    <d v="2015-12-31T00:00:00"/>
    <x v="1"/>
    <n v="12"/>
    <s v="N02BA"/>
    <x v="2"/>
    <n v="137"/>
    <x v="0"/>
    <x v="1"/>
  </r>
  <r>
    <d v="2015-12-31T00:00:00"/>
    <x v="1"/>
    <n v="12"/>
    <s v="N02BE"/>
    <x v="3"/>
    <n v="1258.3499999999999"/>
    <x v="0"/>
    <x v="1"/>
  </r>
  <r>
    <d v="2015-12-31T00:00:00"/>
    <x v="1"/>
    <n v="12"/>
    <s v="N05B"/>
    <x v="4"/>
    <n v="286"/>
    <x v="0"/>
    <x v="1"/>
  </r>
  <r>
    <d v="2015-12-31T00:00:00"/>
    <x v="1"/>
    <n v="12"/>
    <s v="N05C"/>
    <x v="5"/>
    <n v="28"/>
    <x v="0"/>
    <x v="1"/>
  </r>
  <r>
    <d v="2015-12-31T00:00:00"/>
    <x v="1"/>
    <n v="12"/>
    <s v="R03"/>
    <x v="6"/>
    <n v="231"/>
    <x v="0"/>
    <x v="2"/>
  </r>
  <r>
    <d v="2015-12-31T00:00:00"/>
    <x v="1"/>
    <n v="12"/>
    <s v="R06"/>
    <x v="7"/>
    <n v="41.73"/>
    <x v="0"/>
    <x v="2"/>
  </r>
  <r>
    <d v="2016-01-31T00:00:00"/>
    <x v="2"/>
    <n v="1"/>
    <s v="M01AB"/>
    <x v="0"/>
    <n v="171.65"/>
    <x v="0"/>
    <x v="0"/>
  </r>
  <r>
    <d v="2016-01-31T00:00:00"/>
    <x v="2"/>
    <n v="1"/>
    <s v="M01AE"/>
    <x v="1"/>
    <n v="128.4"/>
    <x v="0"/>
    <x v="0"/>
  </r>
  <r>
    <d v="2016-01-31T00:00:00"/>
    <x v="2"/>
    <n v="1"/>
    <s v="N02BA"/>
    <x v="2"/>
    <n v="172.5"/>
    <x v="0"/>
    <x v="1"/>
  </r>
  <r>
    <d v="2016-01-31T00:00:00"/>
    <x v="2"/>
    <n v="1"/>
    <s v="N02BE"/>
    <x v="3"/>
    <n v="1476.32"/>
    <x v="0"/>
    <x v="1"/>
  </r>
  <r>
    <d v="2016-01-31T00:00:00"/>
    <x v="2"/>
    <n v="1"/>
    <s v="N05B"/>
    <x v="4"/>
    <n v="248"/>
    <x v="0"/>
    <x v="1"/>
  </r>
  <r>
    <d v="2016-01-31T00:00:00"/>
    <x v="2"/>
    <n v="1"/>
    <s v="N05C"/>
    <x v="5"/>
    <n v="24"/>
    <x v="0"/>
    <x v="1"/>
  </r>
  <r>
    <d v="2016-01-31T00:00:00"/>
    <x v="2"/>
    <n v="1"/>
    <s v="R03"/>
    <x v="6"/>
    <n v="174"/>
    <x v="0"/>
    <x v="2"/>
  </r>
  <r>
    <d v="2016-01-31T00:00:00"/>
    <x v="2"/>
    <n v="1"/>
    <s v="R06"/>
    <x v="7"/>
    <n v="56.5"/>
    <x v="0"/>
    <x v="2"/>
  </r>
  <r>
    <d v="2016-02-29T00:00:00"/>
    <x v="2"/>
    <n v="2"/>
    <s v="M01AB"/>
    <x v="0"/>
    <n v="173.81"/>
    <x v="0"/>
    <x v="0"/>
  </r>
  <r>
    <d v="2016-02-29T00:00:00"/>
    <x v="2"/>
    <n v="2"/>
    <s v="M01AE"/>
    <x v="1"/>
    <n v="137.53"/>
    <x v="0"/>
    <x v="0"/>
  </r>
  <r>
    <d v="2016-02-29T00:00:00"/>
    <x v="2"/>
    <n v="2"/>
    <s v="N02BA"/>
    <x v="2"/>
    <n v="134.19999999999999"/>
    <x v="0"/>
    <x v="1"/>
  </r>
  <r>
    <d v="2016-02-29T00:00:00"/>
    <x v="2"/>
    <n v="2"/>
    <s v="N02BE"/>
    <x v="3"/>
    <n v="1224.8599999999999"/>
    <x v="0"/>
    <x v="1"/>
  </r>
  <r>
    <d v="2016-02-29T00:00:00"/>
    <x v="2"/>
    <n v="2"/>
    <s v="N05B"/>
    <x v="4"/>
    <n v="239"/>
    <x v="0"/>
    <x v="1"/>
  </r>
  <r>
    <d v="2016-02-29T00:00:00"/>
    <x v="2"/>
    <n v="2"/>
    <s v="N05C"/>
    <x v="5"/>
    <n v="20"/>
    <x v="0"/>
    <x v="1"/>
  </r>
  <r>
    <d v="2016-02-29T00:00:00"/>
    <x v="2"/>
    <n v="2"/>
    <s v="R03"/>
    <x v="6"/>
    <n v="245"/>
    <x v="0"/>
    <x v="2"/>
  </r>
  <r>
    <d v="2016-02-29T00:00:00"/>
    <x v="2"/>
    <n v="2"/>
    <s v="R06"/>
    <x v="7"/>
    <n v="58"/>
    <x v="0"/>
    <x v="2"/>
  </r>
  <r>
    <d v="2016-03-31T00:00:00"/>
    <x v="2"/>
    <n v="3"/>
    <s v="M01AB"/>
    <x v="0"/>
    <n v="156.63999999999999"/>
    <x v="0"/>
    <x v="0"/>
  </r>
  <r>
    <d v="2016-03-31T00:00:00"/>
    <x v="2"/>
    <n v="3"/>
    <s v="M01AE"/>
    <x v="1"/>
    <n v="165.59"/>
    <x v="0"/>
    <x v="0"/>
  </r>
  <r>
    <d v="2016-03-31T00:00:00"/>
    <x v="2"/>
    <n v="3"/>
    <s v="N02BA"/>
    <x v="2"/>
    <n v="148.4"/>
    <x v="0"/>
    <x v="1"/>
  </r>
  <r>
    <d v="2016-03-31T00:00:00"/>
    <x v="2"/>
    <n v="3"/>
    <s v="N02BE"/>
    <x v="3"/>
    <n v="1150.7"/>
    <x v="0"/>
    <x v="1"/>
  </r>
  <r>
    <d v="2016-03-31T00:00:00"/>
    <x v="2"/>
    <n v="3"/>
    <s v="N05B"/>
    <x v="4"/>
    <n v="250"/>
    <x v="0"/>
    <x v="1"/>
  </r>
  <r>
    <d v="2016-03-31T00:00:00"/>
    <x v="2"/>
    <n v="3"/>
    <s v="N05C"/>
    <x v="5"/>
    <n v="13"/>
    <x v="0"/>
    <x v="1"/>
  </r>
  <r>
    <d v="2016-03-31T00:00:00"/>
    <x v="2"/>
    <n v="3"/>
    <s v="R03"/>
    <x v="6"/>
    <n v="253"/>
    <x v="0"/>
    <x v="2"/>
  </r>
  <r>
    <d v="2016-03-31T00:00:00"/>
    <x v="2"/>
    <n v="3"/>
    <s v="R06"/>
    <x v="7"/>
    <n v="97.84"/>
    <x v="0"/>
    <x v="2"/>
  </r>
  <r>
    <d v="2016-04-30T00:00:00"/>
    <x v="2"/>
    <n v="4"/>
    <s v="M01AB"/>
    <x v="0"/>
    <n v="166.61"/>
    <x v="0"/>
    <x v="0"/>
  </r>
  <r>
    <d v="2016-04-30T00:00:00"/>
    <x v="2"/>
    <n v="4"/>
    <s v="M01AE"/>
    <x v="1"/>
    <n v="146.53"/>
    <x v="0"/>
    <x v="0"/>
  </r>
  <r>
    <d v="2016-04-30T00:00:00"/>
    <x v="2"/>
    <n v="4"/>
    <s v="N02BA"/>
    <x v="2"/>
    <n v="147.69999999999999"/>
    <x v="0"/>
    <x v="1"/>
  </r>
  <r>
    <d v="2016-04-30T00:00:00"/>
    <x v="2"/>
    <n v="4"/>
    <s v="N02BE"/>
    <x v="3"/>
    <n v="998.34"/>
    <x v="0"/>
    <x v="1"/>
  </r>
  <r>
    <d v="2016-04-30T00:00:00"/>
    <x v="2"/>
    <n v="4"/>
    <s v="N05B"/>
    <x v="4"/>
    <n v="292"/>
    <x v="0"/>
    <x v="1"/>
  </r>
  <r>
    <d v="2016-04-30T00:00:00"/>
    <x v="2"/>
    <n v="4"/>
    <s v="N05C"/>
    <x v="5"/>
    <n v="18"/>
    <x v="0"/>
    <x v="1"/>
  </r>
  <r>
    <d v="2016-04-30T00:00:00"/>
    <x v="2"/>
    <n v="4"/>
    <s v="R03"/>
    <x v="6"/>
    <n v="216"/>
    <x v="0"/>
    <x v="2"/>
  </r>
  <r>
    <d v="2016-04-30T00:00:00"/>
    <x v="2"/>
    <n v="4"/>
    <s v="R06"/>
    <x v="7"/>
    <n v="162.4"/>
    <x v="0"/>
    <x v="2"/>
  </r>
  <r>
    <d v="2016-05-31T00:00:00"/>
    <x v="2"/>
    <n v="5"/>
    <s v="M01AB"/>
    <x v="0"/>
    <n v="167.36"/>
    <x v="0"/>
    <x v="0"/>
  </r>
  <r>
    <d v="2016-05-31T00:00:00"/>
    <x v="2"/>
    <n v="5"/>
    <s v="M01AE"/>
    <x v="1"/>
    <n v="120.86"/>
    <x v="0"/>
    <x v="0"/>
  </r>
  <r>
    <d v="2016-05-31T00:00:00"/>
    <x v="2"/>
    <n v="5"/>
    <s v="N02BA"/>
    <x v="2"/>
    <n v="130.55000000000001"/>
    <x v="0"/>
    <x v="1"/>
  </r>
  <r>
    <d v="2016-05-31T00:00:00"/>
    <x v="2"/>
    <n v="5"/>
    <s v="N02BE"/>
    <x v="3"/>
    <n v="997.15"/>
    <x v="0"/>
    <x v="1"/>
  </r>
  <r>
    <d v="2016-05-31T00:00:00"/>
    <x v="2"/>
    <n v="5"/>
    <s v="N05B"/>
    <x v="4"/>
    <n v="255"/>
    <x v="0"/>
    <x v="1"/>
  </r>
  <r>
    <d v="2016-05-31T00:00:00"/>
    <x v="2"/>
    <n v="5"/>
    <s v="N05C"/>
    <x v="5"/>
    <n v="18"/>
    <x v="0"/>
    <x v="1"/>
  </r>
  <r>
    <d v="2016-05-31T00:00:00"/>
    <x v="2"/>
    <n v="5"/>
    <s v="R03"/>
    <x v="6"/>
    <n v="131"/>
    <x v="0"/>
    <x v="2"/>
  </r>
  <r>
    <d v="2016-05-31T00:00:00"/>
    <x v="2"/>
    <n v="5"/>
    <s v="R06"/>
    <x v="7"/>
    <n v="137.1"/>
    <x v="0"/>
    <x v="2"/>
  </r>
  <r>
    <d v="2016-06-30T00:00:00"/>
    <x v="2"/>
    <n v="6"/>
    <s v="M01AB"/>
    <x v="0"/>
    <n v="169.67"/>
    <x v="0"/>
    <x v="0"/>
  </r>
  <r>
    <d v="2016-06-30T00:00:00"/>
    <x v="2"/>
    <n v="6"/>
    <s v="M01AE"/>
    <x v="1"/>
    <n v="114.96"/>
    <x v="0"/>
    <x v="0"/>
  </r>
  <r>
    <d v="2016-06-30T00:00:00"/>
    <x v="2"/>
    <n v="6"/>
    <s v="N02BA"/>
    <x v="2"/>
    <n v="117.75"/>
    <x v="0"/>
    <x v="1"/>
  </r>
  <r>
    <d v="2016-06-30T00:00:00"/>
    <x v="2"/>
    <n v="6"/>
    <s v="N02BE"/>
    <x v="3"/>
    <n v="760.05"/>
    <x v="0"/>
    <x v="1"/>
  </r>
  <r>
    <d v="2016-06-30T00:00:00"/>
    <x v="2"/>
    <n v="6"/>
    <s v="N05B"/>
    <x v="4"/>
    <n v="280.5"/>
    <x v="0"/>
    <x v="1"/>
  </r>
  <r>
    <d v="2016-06-30T00:00:00"/>
    <x v="2"/>
    <n v="6"/>
    <s v="N05C"/>
    <x v="5"/>
    <n v="20"/>
    <x v="0"/>
    <x v="1"/>
  </r>
  <r>
    <d v="2016-06-30T00:00:00"/>
    <x v="2"/>
    <n v="6"/>
    <s v="R03"/>
    <x v="6"/>
    <n v="127"/>
    <x v="0"/>
    <x v="2"/>
  </r>
  <r>
    <d v="2016-06-30T00:00:00"/>
    <x v="2"/>
    <n v="6"/>
    <s v="R06"/>
    <x v="7"/>
    <n v="134.80000000000001"/>
    <x v="0"/>
    <x v="2"/>
  </r>
  <r>
    <d v="2016-07-31T00:00:00"/>
    <x v="2"/>
    <n v="7"/>
    <s v="M01AB"/>
    <x v="0"/>
    <n v="194.53"/>
    <x v="0"/>
    <x v="0"/>
  </r>
  <r>
    <d v="2016-07-31T00:00:00"/>
    <x v="2"/>
    <n v="7"/>
    <s v="M01AE"/>
    <x v="1"/>
    <n v="141.02000000000001"/>
    <x v="0"/>
    <x v="0"/>
  </r>
  <r>
    <d v="2016-07-31T00:00:00"/>
    <x v="2"/>
    <n v="7"/>
    <s v="N02BA"/>
    <x v="2"/>
    <n v="137.9"/>
    <x v="0"/>
    <x v="1"/>
  </r>
  <r>
    <d v="2016-07-31T00:00:00"/>
    <x v="2"/>
    <n v="7"/>
    <s v="N02BE"/>
    <x v="3"/>
    <n v="652.36"/>
    <x v="0"/>
    <x v="1"/>
  </r>
  <r>
    <d v="2016-07-31T00:00:00"/>
    <x v="2"/>
    <n v="7"/>
    <s v="N05B"/>
    <x v="4"/>
    <n v="240"/>
    <x v="0"/>
    <x v="1"/>
  </r>
  <r>
    <d v="2016-07-31T00:00:00"/>
    <x v="2"/>
    <n v="7"/>
    <s v="N05C"/>
    <x v="5"/>
    <n v="8"/>
    <x v="0"/>
    <x v="1"/>
  </r>
  <r>
    <d v="2016-07-31T00:00:00"/>
    <x v="2"/>
    <n v="7"/>
    <s v="R03"/>
    <x v="6"/>
    <n v="109"/>
    <x v="0"/>
    <x v="2"/>
  </r>
  <r>
    <d v="2016-07-31T00:00:00"/>
    <x v="2"/>
    <n v="7"/>
    <s v="R06"/>
    <x v="7"/>
    <n v="116.83"/>
    <x v="0"/>
    <x v="2"/>
  </r>
  <r>
    <d v="2016-08-31T00:00:00"/>
    <x v="2"/>
    <n v="8"/>
    <s v="M01AB"/>
    <x v="0"/>
    <n v="211.13"/>
    <x v="0"/>
    <x v="0"/>
  </r>
  <r>
    <d v="2016-08-31T00:00:00"/>
    <x v="2"/>
    <n v="8"/>
    <s v="M01AE"/>
    <x v="1"/>
    <n v="114.38"/>
    <x v="0"/>
    <x v="0"/>
  </r>
  <r>
    <d v="2016-08-31T00:00:00"/>
    <x v="2"/>
    <n v="8"/>
    <s v="N02BA"/>
    <x v="2"/>
    <n v="132.69999999999999"/>
    <x v="0"/>
    <x v="1"/>
  </r>
  <r>
    <d v="2016-08-31T00:00:00"/>
    <x v="2"/>
    <n v="8"/>
    <s v="N02BE"/>
    <x v="3"/>
    <n v="686.38"/>
    <x v="0"/>
    <x v="1"/>
  </r>
  <r>
    <d v="2016-08-31T00:00:00"/>
    <x v="2"/>
    <n v="8"/>
    <s v="N05B"/>
    <x v="4"/>
    <n v="275.5"/>
    <x v="0"/>
    <x v="1"/>
  </r>
  <r>
    <d v="2016-08-31T00:00:00"/>
    <x v="2"/>
    <n v="8"/>
    <s v="N05C"/>
    <x v="5"/>
    <n v="12"/>
    <x v="0"/>
    <x v="1"/>
  </r>
  <r>
    <d v="2016-08-31T00:00:00"/>
    <x v="2"/>
    <n v="8"/>
    <s v="R03"/>
    <x v="6"/>
    <n v="116"/>
    <x v="0"/>
    <x v="2"/>
  </r>
  <r>
    <d v="2016-08-31T00:00:00"/>
    <x v="2"/>
    <n v="8"/>
    <s v="R06"/>
    <x v="7"/>
    <n v="85.3"/>
    <x v="0"/>
    <x v="2"/>
  </r>
  <r>
    <d v="2016-09-30T00:00:00"/>
    <x v="2"/>
    <n v="9"/>
    <s v="M01AB"/>
    <x v="0"/>
    <n v="172.96"/>
    <x v="0"/>
    <x v="0"/>
  </r>
  <r>
    <d v="2016-09-30T00:00:00"/>
    <x v="2"/>
    <n v="9"/>
    <s v="M01AE"/>
    <x v="1"/>
    <n v="126.22"/>
    <x v="0"/>
    <x v="0"/>
  </r>
  <r>
    <d v="2016-09-30T00:00:00"/>
    <x v="2"/>
    <n v="9"/>
    <s v="N02BA"/>
    <x v="2"/>
    <n v="116.7"/>
    <x v="0"/>
    <x v="1"/>
  </r>
  <r>
    <d v="2016-09-30T00:00:00"/>
    <x v="2"/>
    <n v="9"/>
    <s v="N02BE"/>
    <x v="3"/>
    <n v="1118.7"/>
    <x v="0"/>
    <x v="1"/>
  </r>
  <r>
    <d v="2016-09-30T00:00:00"/>
    <x v="2"/>
    <n v="9"/>
    <s v="N05B"/>
    <x v="4"/>
    <n v="307"/>
    <x v="0"/>
    <x v="1"/>
  </r>
  <r>
    <d v="2016-09-30T00:00:00"/>
    <x v="2"/>
    <n v="9"/>
    <s v="N05C"/>
    <x v="5"/>
    <n v="18"/>
    <x v="0"/>
    <x v="1"/>
  </r>
  <r>
    <d v="2016-09-30T00:00:00"/>
    <x v="2"/>
    <n v="9"/>
    <s v="R03"/>
    <x v="6"/>
    <n v="121"/>
    <x v="0"/>
    <x v="2"/>
  </r>
  <r>
    <d v="2016-09-30T00:00:00"/>
    <x v="2"/>
    <n v="9"/>
    <s v="R06"/>
    <x v="7"/>
    <n v="69.3"/>
    <x v="0"/>
    <x v="2"/>
  </r>
  <r>
    <d v="2016-10-31T00:00:00"/>
    <x v="2"/>
    <n v="10"/>
    <s v="M01AB"/>
    <x v="0"/>
    <n v="186.76"/>
    <x v="0"/>
    <x v="0"/>
  </r>
  <r>
    <d v="2016-10-31T00:00:00"/>
    <x v="2"/>
    <n v="10"/>
    <s v="M01AE"/>
    <x v="1"/>
    <n v="142.06"/>
    <x v="0"/>
    <x v="0"/>
  </r>
  <r>
    <d v="2016-10-31T00:00:00"/>
    <x v="2"/>
    <n v="10"/>
    <s v="N02BA"/>
    <x v="2"/>
    <n v="160.15"/>
    <x v="0"/>
    <x v="1"/>
  </r>
  <r>
    <d v="2016-10-31T00:00:00"/>
    <x v="2"/>
    <n v="10"/>
    <s v="N02BE"/>
    <x v="3"/>
    <n v="1583.69"/>
    <x v="0"/>
    <x v="1"/>
  </r>
  <r>
    <d v="2016-10-31T00:00:00"/>
    <x v="2"/>
    <n v="10"/>
    <s v="N05B"/>
    <x v="4"/>
    <n v="290.83"/>
    <x v="0"/>
    <x v="1"/>
  </r>
  <r>
    <d v="2016-10-31T00:00:00"/>
    <x v="2"/>
    <n v="10"/>
    <s v="N05C"/>
    <x v="5"/>
    <n v="11"/>
    <x v="0"/>
    <x v="1"/>
  </r>
  <r>
    <d v="2016-10-31T00:00:00"/>
    <x v="2"/>
    <n v="10"/>
    <s v="R03"/>
    <x v="6"/>
    <n v="220"/>
    <x v="0"/>
    <x v="2"/>
  </r>
  <r>
    <d v="2016-10-31T00:00:00"/>
    <x v="2"/>
    <n v="10"/>
    <s v="R06"/>
    <x v="7"/>
    <n v="60.9"/>
    <x v="0"/>
    <x v="2"/>
  </r>
  <r>
    <d v="2016-11-30T00:00:00"/>
    <x v="2"/>
    <n v="11"/>
    <s v="M01AB"/>
    <x v="0"/>
    <n v="166.85"/>
    <x v="0"/>
    <x v="0"/>
  </r>
  <r>
    <d v="2016-11-30T00:00:00"/>
    <x v="2"/>
    <n v="11"/>
    <s v="M01AE"/>
    <x v="1"/>
    <n v="116.85"/>
    <x v="0"/>
    <x v="0"/>
  </r>
  <r>
    <d v="2016-11-30T00:00:00"/>
    <x v="2"/>
    <n v="11"/>
    <s v="N02BA"/>
    <x v="2"/>
    <n v="133.85"/>
    <x v="0"/>
    <x v="1"/>
  </r>
  <r>
    <d v="2016-11-30T00:00:00"/>
    <x v="2"/>
    <n v="11"/>
    <s v="N02BE"/>
    <x v="3"/>
    <n v="1062.69"/>
    <x v="0"/>
    <x v="1"/>
  </r>
  <r>
    <d v="2016-11-30T00:00:00"/>
    <x v="2"/>
    <n v="11"/>
    <s v="N05B"/>
    <x v="4"/>
    <n v="234.17"/>
    <x v="0"/>
    <x v="1"/>
  </r>
  <r>
    <d v="2016-11-30T00:00:00"/>
    <x v="2"/>
    <n v="11"/>
    <s v="N05C"/>
    <x v="5"/>
    <n v="27"/>
    <x v="0"/>
    <x v="1"/>
  </r>
  <r>
    <d v="2016-11-30T00:00:00"/>
    <x v="2"/>
    <n v="11"/>
    <s v="R03"/>
    <x v="6"/>
    <n v="150"/>
    <x v="0"/>
    <x v="2"/>
  </r>
  <r>
    <d v="2016-11-30T00:00:00"/>
    <x v="2"/>
    <n v="11"/>
    <s v="R06"/>
    <x v="7"/>
    <n v="51.2"/>
    <x v="0"/>
    <x v="2"/>
  </r>
  <r>
    <d v="2016-12-31T00:00:00"/>
    <x v="2"/>
    <n v="12"/>
    <s v="M01AB"/>
    <x v="0"/>
    <n v="169.32"/>
    <x v="0"/>
    <x v="0"/>
  </r>
  <r>
    <d v="2016-12-31T00:00:00"/>
    <x v="2"/>
    <n v="12"/>
    <s v="M01AE"/>
    <x v="1"/>
    <n v="135.06"/>
    <x v="0"/>
    <x v="0"/>
  </r>
  <r>
    <d v="2016-12-31T00:00:00"/>
    <x v="2"/>
    <n v="12"/>
    <s v="N02BA"/>
    <x v="2"/>
    <n v="122.82"/>
    <x v="0"/>
    <x v="1"/>
  </r>
  <r>
    <d v="2016-12-31T00:00:00"/>
    <x v="2"/>
    <n v="12"/>
    <s v="N02BE"/>
    <x v="3"/>
    <n v="1624.34"/>
    <x v="0"/>
    <x v="1"/>
  </r>
  <r>
    <d v="2016-12-31T00:00:00"/>
    <x v="2"/>
    <n v="12"/>
    <s v="N05B"/>
    <x v="4"/>
    <n v="226.33"/>
    <x v="0"/>
    <x v="1"/>
  </r>
  <r>
    <d v="2016-12-31T00:00:00"/>
    <x v="2"/>
    <n v="12"/>
    <s v="N05C"/>
    <x v="5"/>
    <n v="18"/>
    <x v="0"/>
    <x v="1"/>
  </r>
  <r>
    <d v="2016-12-31T00:00:00"/>
    <x v="2"/>
    <n v="12"/>
    <s v="R03"/>
    <x v="6"/>
    <n v="275"/>
    <x v="0"/>
    <x v="2"/>
  </r>
  <r>
    <d v="2016-12-31T00:00:00"/>
    <x v="2"/>
    <n v="12"/>
    <s v="R06"/>
    <x v="7"/>
    <n v="34.9"/>
    <x v="0"/>
    <x v="2"/>
  </r>
  <r>
    <d v="2017-01-31T00:00:00"/>
    <x v="3"/>
    <n v="1"/>
    <s v="M01AB"/>
    <x v="0"/>
    <n v="181.9"/>
    <x v="0"/>
    <x v="0"/>
  </r>
  <r>
    <d v="2017-01-31T00:00:00"/>
    <x v="3"/>
    <n v="1"/>
    <s v="M01AE"/>
    <x v="1"/>
    <n v="150.99"/>
    <x v="0"/>
    <x v="0"/>
  </r>
  <r>
    <d v="2017-01-31T00:00:00"/>
    <x v="3"/>
    <n v="1"/>
    <s v="N02BA"/>
    <x v="2"/>
    <n v="191.27"/>
    <x v="0"/>
    <x v="1"/>
  </r>
  <r>
    <d v="2017-01-31T00:00:00"/>
    <x v="3"/>
    <n v="1"/>
    <s v="N02BE"/>
    <x v="3"/>
    <n v="1439.36"/>
    <x v="0"/>
    <x v="1"/>
  </r>
  <r>
    <d v="2017-01-31T00:00:00"/>
    <x v="3"/>
    <n v="1"/>
    <s v="N05B"/>
    <x v="4"/>
    <n v="443.75"/>
    <x v="0"/>
    <x v="1"/>
  </r>
  <r>
    <d v="2017-01-31T00:00:00"/>
    <x v="3"/>
    <n v="1"/>
    <s v="N05C"/>
    <x v="5"/>
    <n v="34.17"/>
    <x v="0"/>
    <x v="1"/>
  </r>
  <r>
    <d v="2017-01-31T00:00:00"/>
    <x v="3"/>
    <n v="1"/>
    <s v="R03"/>
    <x v="6"/>
    <n v="196.41"/>
    <x v="0"/>
    <x v="2"/>
  </r>
  <r>
    <d v="2017-01-31T00:00:00"/>
    <x v="3"/>
    <n v="1"/>
    <s v="R06"/>
    <x v="7"/>
    <n v="61.75"/>
    <x v="0"/>
    <x v="2"/>
  </r>
  <r>
    <d v="2017-02-28T00:00:00"/>
    <x v="3"/>
    <n v="2"/>
    <s v="M01AB"/>
    <x v="0"/>
    <n v="159.99"/>
    <x v="0"/>
    <x v="0"/>
  </r>
  <r>
    <d v="2017-02-28T00:00:00"/>
    <x v="3"/>
    <n v="2"/>
    <s v="M01AE"/>
    <x v="1"/>
    <n v="125.34"/>
    <x v="0"/>
    <x v="0"/>
  </r>
  <r>
    <d v="2017-02-28T00:00:00"/>
    <x v="3"/>
    <n v="2"/>
    <s v="N02BA"/>
    <x v="2"/>
    <n v="122.88"/>
    <x v="0"/>
    <x v="1"/>
  </r>
  <r>
    <d v="2017-02-28T00:00:00"/>
    <x v="3"/>
    <n v="2"/>
    <s v="N02BE"/>
    <x v="3"/>
    <n v="670.88"/>
    <x v="0"/>
    <x v="1"/>
  </r>
  <r>
    <d v="2017-02-28T00:00:00"/>
    <x v="3"/>
    <n v="2"/>
    <s v="N05B"/>
    <x v="4"/>
    <n v="178.79"/>
    <x v="0"/>
    <x v="1"/>
  </r>
  <r>
    <d v="2017-02-28T00:00:00"/>
    <x v="3"/>
    <n v="2"/>
    <s v="N05C"/>
    <x v="5"/>
    <n v="11.17"/>
    <x v="0"/>
    <x v="1"/>
  </r>
  <r>
    <d v="2017-02-28T00:00:00"/>
    <x v="3"/>
    <n v="2"/>
    <s v="R03"/>
    <x v="6"/>
    <n v="140.33000000000001"/>
    <x v="0"/>
    <x v="2"/>
  </r>
  <r>
    <d v="2017-02-28T00:00:00"/>
    <x v="3"/>
    <n v="2"/>
    <s v="R06"/>
    <x v="7"/>
    <n v="38.1"/>
    <x v="0"/>
    <x v="2"/>
  </r>
  <r>
    <d v="2017-03-31T00:00:00"/>
    <x v="3"/>
    <n v="3"/>
    <s v="M01AB"/>
    <x v="0"/>
    <n v="162.85"/>
    <x v="0"/>
    <x v="0"/>
  </r>
  <r>
    <d v="2017-03-31T00:00:00"/>
    <x v="3"/>
    <n v="3"/>
    <s v="M01AE"/>
    <x v="1"/>
    <n v="111.06"/>
    <x v="0"/>
    <x v="0"/>
  </r>
  <r>
    <d v="2017-03-31T00:00:00"/>
    <x v="3"/>
    <n v="3"/>
    <s v="N02BA"/>
    <x v="2"/>
    <n v="107.35"/>
    <x v="0"/>
    <x v="1"/>
  </r>
  <r>
    <d v="2017-03-31T00:00:00"/>
    <x v="3"/>
    <n v="3"/>
    <s v="N02BE"/>
    <x v="3"/>
    <n v="612.5"/>
    <x v="0"/>
    <x v="1"/>
  </r>
  <r>
    <d v="2017-03-31T00:00:00"/>
    <x v="3"/>
    <n v="3"/>
    <s v="N05B"/>
    <x v="4"/>
    <n v="165"/>
    <x v="0"/>
    <x v="1"/>
  </r>
  <r>
    <d v="2017-03-31T00:00:00"/>
    <x v="3"/>
    <n v="3"/>
    <s v="N05C"/>
    <x v="5"/>
    <n v="9"/>
    <x v="0"/>
    <x v="1"/>
  </r>
  <r>
    <d v="2017-03-31T00:00:00"/>
    <x v="3"/>
    <n v="3"/>
    <s v="R03"/>
    <x v="6"/>
    <n v="109"/>
    <x v="0"/>
    <x v="2"/>
  </r>
  <r>
    <d v="2017-03-31T00:00:00"/>
    <x v="3"/>
    <n v="3"/>
    <s v="R06"/>
    <x v="7"/>
    <n v="100.1"/>
    <x v="0"/>
    <x v="2"/>
  </r>
  <r>
    <d v="2017-04-30T00:00:00"/>
    <x v="3"/>
    <n v="4"/>
    <s v="M01AB"/>
    <x v="0"/>
    <n v="155.61000000000001"/>
    <x v="0"/>
    <x v="0"/>
  </r>
  <r>
    <d v="2017-04-30T00:00:00"/>
    <x v="3"/>
    <n v="4"/>
    <s v="M01AE"/>
    <x v="1"/>
    <n v="101.22"/>
    <x v="0"/>
    <x v="0"/>
  </r>
  <r>
    <d v="2017-04-30T00:00:00"/>
    <x v="3"/>
    <n v="4"/>
    <s v="N02BA"/>
    <x v="2"/>
    <n v="100.5"/>
    <x v="0"/>
    <x v="1"/>
  </r>
  <r>
    <d v="2017-04-30T00:00:00"/>
    <x v="3"/>
    <n v="4"/>
    <s v="N02BE"/>
    <x v="3"/>
    <n v="540.20000000000005"/>
    <x v="0"/>
    <x v="1"/>
  </r>
  <r>
    <d v="2017-04-30T00:00:00"/>
    <x v="3"/>
    <n v="4"/>
    <s v="N05B"/>
    <x v="4"/>
    <n v="132"/>
    <x v="0"/>
    <x v="1"/>
  </r>
  <r>
    <d v="2017-04-30T00:00:00"/>
    <x v="3"/>
    <n v="4"/>
    <s v="N05C"/>
    <x v="5"/>
    <n v="9"/>
    <x v="0"/>
    <x v="1"/>
  </r>
  <r>
    <d v="2017-04-30T00:00:00"/>
    <x v="3"/>
    <n v="4"/>
    <s v="R03"/>
    <x v="6"/>
    <n v="180.88"/>
    <x v="0"/>
    <x v="2"/>
  </r>
  <r>
    <d v="2017-04-30T00:00:00"/>
    <x v="3"/>
    <n v="4"/>
    <s v="R06"/>
    <x v="7"/>
    <n v="122.4"/>
    <x v="0"/>
    <x v="2"/>
  </r>
  <r>
    <d v="2017-05-31T00:00:00"/>
    <x v="3"/>
    <n v="5"/>
    <s v="M01AB"/>
    <x v="0"/>
    <n v="143.66"/>
    <x v="0"/>
    <x v="0"/>
  </r>
  <r>
    <d v="2017-05-31T00:00:00"/>
    <x v="3"/>
    <n v="5"/>
    <s v="M01AE"/>
    <x v="1"/>
    <n v="118.12"/>
    <x v="0"/>
    <x v="0"/>
  </r>
  <r>
    <d v="2017-05-31T00:00:00"/>
    <x v="3"/>
    <n v="5"/>
    <s v="N02BA"/>
    <x v="2"/>
    <n v="98.95"/>
    <x v="0"/>
    <x v="1"/>
  </r>
  <r>
    <d v="2017-05-31T00:00:00"/>
    <x v="3"/>
    <n v="5"/>
    <s v="N02BE"/>
    <x v="3"/>
    <n v="547.94000000000005"/>
    <x v="0"/>
    <x v="1"/>
  </r>
  <r>
    <d v="2017-05-31T00:00:00"/>
    <x v="3"/>
    <n v="5"/>
    <s v="N05B"/>
    <x v="4"/>
    <n v="148"/>
    <x v="0"/>
    <x v="1"/>
  </r>
  <r>
    <d v="2017-05-31T00:00:00"/>
    <x v="3"/>
    <n v="5"/>
    <s v="N05C"/>
    <x v="5"/>
    <n v="23"/>
    <x v="0"/>
    <x v="1"/>
  </r>
  <r>
    <d v="2017-05-31T00:00:00"/>
    <x v="3"/>
    <n v="5"/>
    <s v="R03"/>
    <x v="6"/>
    <n v="128"/>
    <x v="0"/>
    <x v="2"/>
  </r>
  <r>
    <d v="2017-05-31T00:00:00"/>
    <x v="3"/>
    <n v="5"/>
    <s v="R06"/>
    <x v="7"/>
    <n v="161.81"/>
    <x v="0"/>
    <x v="2"/>
  </r>
  <r>
    <d v="2017-06-30T00:00:00"/>
    <x v="3"/>
    <n v="6"/>
    <s v="M01AB"/>
    <x v="0"/>
    <n v="122.33"/>
    <x v="0"/>
    <x v="0"/>
  </r>
  <r>
    <d v="2017-06-30T00:00:00"/>
    <x v="3"/>
    <n v="6"/>
    <s v="M01AE"/>
    <x v="1"/>
    <n v="103.01"/>
    <x v="0"/>
    <x v="0"/>
  </r>
  <r>
    <d v="2017-06-30T00:00:00"/>
    <x v="3"/>
    <n v="6"/>
    <s v="N02BA"/>
    <x v="2"/>
    <n v="99.6"/>
    <x v="0"/>
    <x v="1"/>
  </r>
  <r>
    <d v="2017-06-30T00:00:00"/>
    <x v="3"/>
    <n v="6"/>
    <s v="N02BE"/>
    <x v="3"/>
    <n v="496.1"/>
    <x v="0"/>
    <x v="1"/>
  </r>
  <r>
    <d v="2017-06-30T00:00:00"/>
    <x v="3"/>
    <n v="6"/>
    <s v="N05B"/>
    <x v="4"/>
    <n v="163"/>
    <x v="0"/>
    <x v="1"/>
  </r>
  <r>
    <d v="2017-06-30T00:00:00"/>
    <x v="3"/>
    <n v="6"/>
    <s v="N05C"/>
    <x v="5"/>
    <n v="8"/>
    <x v="0"/>
    <x v="1"/>
  </r>
  <r>
    <d v="2017-06-30T00:00:00"/>
    <x v="3"/>
    <n v="6"/>
    <s v="R03"/>
    <x v="6"/>
    <n v="163"/>
    <x v="0"/>
    <x v="2"/>
  </r>
  <r>
    <d v="2017-06-30T00:00:00"/>
    <x v="3"/>
    <n v="6"/>
    <s v="R06"/>
    <x v="7"/>
    <n v="151.9"/>
    <x v="0"/>
    <x v="2"/>
  </r>
  <r>
    <d v="2017-07-31T00:00:00"/>
    <x v="3"/>
    <n v="7"/>
    <s v="M01AB"/>
    <x v="0"/>
    <n v="150.29"/>
    <x v="0"/>
    <x v="0"/>
  </r>
  <r>
    <d v="2017-07-31T00:00:00"/>
    <x v="3"/>
    <n v="7"/>
    <s v="M01AE"/>
    <x v="1"/>
    <n v="116.21"/>
    <x v="0"/>
    <x v="0"/>
  </r>
  <r>
    <d v="2017-07-31T00:00:00"/>
    <x v="3"/>
    <n v="7"/>
    <s v="N02BA"/>
    <x v="2"/>
    <n v="75.2"/>
    <x v="0"/>
    <x v="1"/>
  </r>
  <r>
    <d v="2017-07-31T00:00:00"/>
    <x v="3"/>
    <n v="7"/>
    <s v="N02BE"/>
    <x v="3"/>
    <n v="479.35"/>
    <x v="0"/>
    <x v="1"/>
  </r>
  <r>
    <d v="2017-07-31T00:00:00"/>
    <x v="3"/>
    <n v="7"/>
    <s v="N05B"/>
    <x v="4"/>
    <n v="219"/>
    <x v="0"/>
    <x v="1"/>
  </r>
  <r>
    <d v="2017-07-31T00:00:00"/>
    <x v="3"/>
    <n v="7"/>
    <s v="N05C"/>
    <x v="5"/>
    <n v="15"/>
    <x v="0"/>
    <x v="1"/>
  </r>
  <r>
    <d v="2017-07-31T00:00:00"/>
    <x v="3"/>
    <n v="7"/>
    <s v="R03"/>
    <x v="6"/>
    <n v="115"/>
    <x v="0"/>
    <x v="2"/>
  </r>
  <r>
    <d v="2017-07-31T00:00:00"/>
    <x v="3"/>
    <n v="7"/>
    <s v="R06"/>
    <x v="7"/>
    <n v="81.099999999999994"/>
    <x v="0"/>
    <x v="2"/>
  </r>
  <r>
    <d v="2017-08-31T00:00:00"/>
    <x v="3"/>
    <n v="8"/>
    <s v="M01AB"/>
    <x v="0"/>
    <n v="170.15"/>
    <x v="0"/>
    <x v="0"/>
  </r>
  <r>
    <d v="2017-08-31T00:00:00"/>
    <x v="3"/>
    <n v="8"/>
    <s v="M01AE"/>
    <x v="1"/>
    <n v="112.47"/>
    <x v="0"/>
    <x v="0"/>
  </r>
  <r>
    <d v="2017-08-31T00:00:00"/>
    <x v="3"/>
    <n v="8"/>
    <s v="N02BA"/>
    <x v="2"/>
    <n v="84.4"/>
    <x v="0"/>
    <x v="1"/>
  </r>
  <r>
    <d v="2017-08-31T00:00:00"/>
    <x v="3"/>
    <n v="8"/>
    <s v="N02BE"/>
    <x v="3"/>
    <n v="549.29999999999995"/>
    <x v="0"/>
    <x v="1"/>
  </r>
  <r>
    <d v="2017-08-31T00:00:00"/>
    <x v="3"/>
    <n v="8"/>
    <s v="N05B"/>
    <x v="4"/>
    <n v="239"/>
    <x v="0"/>
    <x v="1"/>
  </r>
  <r>
    <d v="2017-08-31T00:00:00"/>
    <x v="3"/>
    <n v="8"/>
    <s v="N05C"/>
    <x v="5"/>
    <n v="12"/>
    <x v="0"/>
    <x v="1"/>
  </r>
  <r>
    <d v="2017-08-31T00:00:00"/>
    <x v="3"/>
    <n v="8"/>
    <s v="R03"/>
    <x v="6"/>
    <n v="75"/>
    <x v="0"/>
    <x v="2"/>
  </r>
  <r>
    <d v="2017-08-31T00:00:00"/>
    <x v="3"/>
    <n v="8"/>
    <s v="R06"/>
    <x v="7"/>
    <n v="60.1"/>
    <x v="0"/>
    <x v="2"/>
  </r>
  <r>
    <d v="2017-09-30T00:00:00"/>
    <x v="3"/>
    <n v="9"/>
    <s v="M01AB"/>
    <x v="0"/>
    <n v="138.33000000000001"/>
    <x v="0"/>
    <x v="0"/>
  </r>
  <r>
    <d v="2017-09-30T00:00:00"/>
    <x v="3"/>
    <n v="9"/>
    <s v="M01AE"/>
    <x v="1"/>
    <n v="118.71"/>
    <x v="0"/>
    <x v="0"/>
  </r>
  <r>
    <d v="2017-09-30T00:00:00"/>
    <x v="3"/>
    <n v="9"/>
    <s v="N02BA"/>
    <x v="2"/>
    <n v="88.15"/>
    <x v="0"/>
    <x v="1"/>
  </r>
  <r>
    <d v="2017-09-30T00:00:00"/>
    <x v="3"/>
    <n v="9"/>
    <s v="N02BE"/>
    <x v="3"/>
    <n v="863.75"/>
    <x v="0"/>
    <x v="1"/>
  </r>
  <r>
    <d v="2017-09-30T00:00:00"/>
    <x v="3"/>
    <n v="9"/>
    <s v="N05B"/>
    <x v="4"/>
    <n v="223"/>
    <x v="0"/>
    <x v="1"/>
  </r>
  <r>
    <d v="2017-09-30T00:00:00"/>
    <x v="3"/>
    <n v="9"/>
    <s v="N05C"/>
    <x v="5"/>
    <n v="23"/>
    <x v="0"/>
    <x v="1"/>
  </r>
  <r>
    <d v="2017-09-30T00:00:00"/>
    <x v="3"/>
    <n v="9"/>
    <s v="R03"/>
    <x v="6"/>
    <n v="139"/>
    <x v="0"/>
    <x v="2"/>
  </r>
  <r>
    <d v="2017-09-30T00:00:00"/>
    <x v="3"/>
    <n v="9"/>
    <s v="R06"/>
    <x v="7"/>
    <n v="66.900000000000006"/>
    <x v="0"/>
    <x v="2"/>
  </r>
  <r>
    <d v="2017-10-31T00:00:00"/>
    <x v="3"/>
    <n v="10"/>
    <s v="M01AB"/>
    <x v="0"/>
    <n v="137.63999999999999"/>
    <x v="0"/>
    <x v="0"/>
  </r>
  <r>
    <d v="2017-10-31T00:00:00"/>
    <x v="3"/>
    <n v="10"/>
    <s v="M01AE"/>
    <x v="1"/>
    <n v="88.74"/>
    <x v="0"/>
    <x v="0"/>
  </r>
  <r>
    <d v="2017-10-31T00:00:00"/>
    <x v="3"/>
    <n v="10"/>
    <s v="N02BA"/>
    <x v="2"/>
    <n v="100.4"/>
    <x v="0"/>
    <x v="1"/>
  </r>
  <r>
    <d v="2017-10-31T00:00:00"/>
    <x v="3"/>
    <n v="10"/>
    <s v="N02BE"/>
    <x v="3"/>
    <n v="1184.3499999999999"/>
    <x v="0"/>
    <x v="1"/>
  </r>
  <r>
    <d v="2017-10-31T00:00:00"/>
    <x v="3"/>
    <n v="10"/>
    <s v="N05B"/>
    <x v="4"/>
    <n v="226"/>
    <x v="0"/>
    <x v="1"/>
  </r>
  <r>
    <d v="2017-10-31T00:00:00"/>
    <x v="3"/>
    <n v="10"/>
    <s v="N05C"/>
    <x v="5"/>
    <n v="15"/>
    <x v="0"/>
    <x v="1"/>
  </r>
  <r>
    <d v="2017-10-31T00:00:00"/>
    <x v="3"/>
    <n v="10"/>
    <s v="R03"/>
    <x v="6"/>
    <n v="247"/>
    <x v="0"/>
    <x v="2"/>
  </r>
  <r>
    <d v="2017-10-31T00:00:00"/>
    <x v="3"/>
    <n v="10"/>
    <s v="R06"/>
    <x v="7"/>
    <n v="51"/>
    <x v="0"/>
    <x v="2"/>
  </r>
  <r>
    <d v="2017-11-30T00:00:00"/>
    <x v="3"/>
    <n v="11"/>
    <s v="M01AB"/>
    <x v="0"/>
    <n v="163.85"/>
    <x v="0"/>
    <x v="0"/>
  </r>
  <r>
    <d v="2017-11-30T00:00:00"/>
    <x v="3"/>
    <n v="11"/>
    <s v="M01AE"/>
    <x v="1"/>
    <n v="119.78"/>
    <x v="0"/>
    <x v="0"/>
  </r>
  <r>
    <d v="2017-11-30T00:00:00"/>
    <x v="3"/>
    <n v="11"/>
    <s v="N02BA"/>
    <x v="2"/>
    <n v="104.45"/>
    <x v="0"/>
    <x v="1"/>
  </r>
  <r>
    <d v="2017-11-30T00:00:00"/>
    <x v="3"/>
    <n v="11"/>
    <s v="N02BE"/>
    <x v="3"/>
    <n v="867.9"/>
    <x v="0"/>
    <x v="1"/>
  </r>
  <r>
    <d v="2017-11-30T00:00:00"/>
    <x v="3"/>
    <n v="11"/>
    <s v="N05B"/>
    <x v="4"/>
    <n v="192"/>
    <x v="0"/>
    <x v="1"/>
  </r>
  <r>
    <d v="2017-11-30T00:00:00"/>
    <x v="3"/>
    <n v="11"/>
    <s v="N05C"/>
    <x v="5"/>
    <n v="15"/>
    <x v="0"/>
    <x v="1"/>
  </r>
  <r>
    <d v="2017-11-30T00:00:00"/>
    <x v="3"/>
    <n v="11"/>
    <s v="R03"/>
    <x v="6"/>
    <n v="196"/>
    <x v="0"/>
    <x v="2"/>
  </r>
  <r>
    <d v="2017-11-30T00:00:00"/>
    <x v="3"/>
    <n v="11"/>
    <s v="R06"/>
    <x v="7"/>
    <n v="46.6"/>
    <x v="0"/>
    <x v="2"/>
  </r>
  <r>
    <d v="2017-12-31T00:00:00"/>
    <x v="3"/>
    <n v="12"/>
    <s v="M01AB"/>
    <x v="0"/>
    <n v="160.01"/>
    <x v="0"/>
    <x v="0"/>
  </r>
  <r>
    <d v="2017-12-31T00:00:00"/>
    <x v="3"/>
    <n v="12"/>
    <s v="M01AE"/>
    <x v="1"/>
    <n v="121.66"/>
    <x v="0"/>
    <x v="0"/>
  </r>
  <r>
    <d v="2017-12-31T00:00:00"/>
    <x v="3"/>
    <n v="12"/>
    <s v="N02BA"/>
    <x v="2"/>
    <n v="115.15"/>
    <x v="0"/>
    <x v="1"/>
  </r>
  <r>
    <d v="2017-12-31T00:00:00"/>
    <x v="3"/>
    <n v="12"/>
    <s v="N02BE"/>
    <x v="3"/>
    <n v="1007.18"/>
    <x v="0"/>
    <x v="1"/>
  </r>
  <r>
    <d v="2017-12-31T00:00:00"/>
    <x v="3"/>
    <n v="12"/>
    <s v="N05B"/>
    <x v="4"/>
    <n v="226"/>
    <x v="0"/>
    <x v="1"/>
  </r>
  <r>
    <d v="2017-12-31T00:00:00"/>
    <x v="3"/>
    <n v="12"/>
    <s v="N05C"/>
    <x v="5"/>
    <n v="6"/>
    <x v="0"/>
    <x v="1"/>
  </r>
  <r>
    <d v="2017-12-31T00:00:00"/>
    <x v="3"/>
    <n v="12"/>
    <s v="R03"/>
    <x v="6"/>
    <n v="204"/>
    <x v="0"/>
    <x v="2"/>
  </r>
  <r>
    <d v="2017-12-31T00:00:00"/>
    <x v="3"/>
    <n v="12"/>
    <s v="R06"/>
    <x v="7"/>
    <n v="47.1"/>
    <x v="0"/>
    <x v="2"/>
  </r>
  <r>
    <d v="2018-01-31T00:00:00"/>
    <x v="4"/>
    <n v="1"/>
    <s v="M01AB"/>
    <x v="0"/>
    <n v="132.28"/>
    <x v="0"/>
    <x v="0"/>
  </r>
  <r>
    <d v="2018-01-31T00:00:00"/>
    <x v="4"/>
    <n v="1"/>
    <s v="M01AE"/>
    <x v="1"/>
    <n v="109.45"/>
    <x v="0"/>
    <x v="0"/>
  </r>
  <r>
    <d v="2018-01-31T00:00:00"/>
    <x v="4"/>
    <n v="1"/>
    <s v="N02BA"/>
    <x v="2"/>
    <n v="101.15"/>
    <x v="0"/>
    <x v="1"/>
  </r>
  <r>
    <d v="2018-01-31T00:00:00"/>
    <x v="4"/>
    <n v="1"/>
    <s v="N02BE"/>
    <x v="3"/>
    <n v="1134.33"/>
    <x v="0"/>
    <x v="1"/>
  </r>
  <r>
    <d v="2018-01-31T00:00:00"/>
    <x v="4"/>
    <n v="1"/>
    <s v="N05B"/>
    <x v="4"/>
    <n v="229"/>
    <x v="0"/>
    <x v="1"/>
  </r>
  <r>
    <d v="2018-01-31T00:00:00"/>
    <x v="4"/>
    <n v="1"/>
    <s v="N05C"/>
    <x v="5"/>
    <n v="11"/>
    <x v="0"/>
    <x v="1"/>
  </r>
  <r>
    <d v="2018-01-31T00:00:00"/>
    <x v="4"/>
    <n v="1"/>
    <s v="R03"/>
    <x v="6"/>
    <n v="219"/>
    <x v="0"/>
    <x v="2"/>
  </r>
  <r>
    <d v="2018-01-31T00:00:00"/>
    <x v="4"/>
    <n v="1"/>
    <s v="R06"/>
    <x v="7"/>
    <n v="49.5"/>
    <x v="0"/>
    <x v="2"/>
  </r>
  <r>
    <d v="2018-02-28T00:00:00"/>
    <x v="4"/>
    <n v="2"/>
    <s v="M01AB"/>
    <x v="0"/>
    <n v="128.36000000000001"/>
    <x v="0"/>
    <x v="0"/>
  </r>
  <r>
    <d v="2018-02-28T00:00:00"/>
    <x v="4"/>
    <n v="2"/>
    <s v="M01AE"/>
    <x v="1"/>
    <n v="132.80000000000001"/>
    <x v="0"/>
    <x v="0"/>
  </r>
  <r>
    <d v="2018-02-28T00:00:00"/>
    <x v="4"/>
    <n v="2"/>
    <s v="N02BA"/>
    <x v="2"/>
    <n v="114.65"/>
    <x v="0"/>
    <x v="1"/>
  </r>
  <r>
    <d v="2018-02-28T00:00:00"/>
    <x v="4"/>
    <n v="2"/>
    <s v="N02BE"/>
    <x v="3"/>
    <n v="1255.3699999999999"/>
    <x v="0"/>
    <x v="1"/>
  </r>
  <r>
    <d v="2018-02-28T00:00:00"/>
    <x v="4"/>
    <n v="2"/>
    <s v="N05B"/>
    <x v="4"/>
    <n v="268"/>
    <x v="0"/>
    <x v="1"/>
  </r>
  <r>
    <d v="2018-02-28T00:00:00"/>
    <x v="4"/>
    <n v="2"/>
    <s v="N05C"/>
    <x v="5"/>
    <n v="12"/>
    <x v="0"/>
    <x v="1"/>
  </r>
  <r>
    <d v="2018-02-28T00:00:00"/>
    <x v="4"/>
    <n v="2"/>
    <s v="R03"/>
    <x v="6"/>
    <n v="224.25"/>
    <x v="0"/>
    <x v="2"/>
  </r>
  <r>
    <d v="2018-02-28T00:00:00"/>
    <x v="4"/>
    <n v="2"/>
    <s v="R06"/>
    <x v="7"/>
    <n v="39.06"/>
    <x v="0"/>
    <x v="2"/>
  </r>
  <r>
    <d v="2018-03-31T00:00:00"/>
    <x v="4"/>
    <n v="3"/>
    <s v="M01AB"/>
    <x v="0"/>
    <n v="146.16"/>
    <x v="0"/>
    <x v="0"/>
  </r>
  <r>
    <d v="2018-03-31T00:00:00"/>
    <x v="4"/>
    <n v="3"/>
    <s v="M01AE"/>
    <x v="1"/>
    <n v="111.76"/>
    <x v="0"/>
    <x v="0"/>
  </r>
  <r>
    <d v="2018-03-31T00:00:00"/>
    <x v="4"/>
    <n v="3"/>
    <s v="N02BA"/>
    <x v="2"/>
    <n v="122.3"/>
    <x v="0"/>
    <x v="1"/>
  </r>
  <r>
    <d v="2018-03-31T00:00:00"/>
    <x v="4"/>
    <n v="3"/>
    <s v="N02BE"/>
    <x v="3"/>
    <n v="999.12"/>
    <x v="0"/>
    <x v="1"/>
  </r>
  <r>
    <d v="2018-03-31T00:00:00"/>
    <x v="4"/>
    <n v="3"/>
    <s v="N05B"/>
    <x v="4"/>
    <n v="381"/>
    <x v="0"/>
    <x v="1"/>
  </r>
  <r>
    <d v="2018-03-31T00:00:00"/>
    <x v="4"/>
    <n v="3"/>
    <s v="N05C"/>
    <x v="5"/>
    <n v="42"/>
    <x v="0"/>
    <x v="1"/>
  </r>
  <r>
    <d v="2018-03-31T00:00:00"/>
    <x v="4"/>
    <n v="3"/>
    <s v="R03"/>
    <x v="6"/>
    <n v="269"/>
    <x v="0"/>
    <x v="2"/>
  </r>
  <r>
    <d v="2018-03-31T00:00:00"/>
    <x v="4"/>
    <n v="3"/>
    <s v="R06"/>
    <x v="7"/>
    <n v="85.5"/>
    <x v="0"/>
    <x v="2"/>
  </r>
  <r>
    <d v="2018-04-30T00:00:00"/>
    <x v="4"/>
    <n v="4"/>
    <s v="M01AB"/>
    <x v="0"/>
    <n v="170.02"/>
    <x v="0"/>
    <x v="0"/>
  </r>
  <r>
    <d v="2018-04-30T00:00:00"/>
    <x v="4"/>
    <n v="4"/>
    <s v="M01AE"/>
    <x v="1"/>
    <n v="107.72"/>
    <x v="0"/>
    <x v="0"/>
  </r>
  <r>
    <d v="2018-04-30T00:00:00"/>
    <x v="4"/>
    <n v="4"/>
    <s v="N02BA"/>
    <x v="2"/>
    <n v="84.6"/>
    <x v="0"/>
    <x v="1"/>
  </r>
  <r>
    <d v="2018-04-30T00:00:00"/>
    <x v="4"/>
    <n v="4"/>
    <s v="N02BE"/>
    <x v="3"/>
    <n v="803.29"/>
    <x v="0"/>
    <x v="1"/>
  </r>
  <r>
    <d v="2018-04-30T00:00:00"/>
    <x v="4"/>
    <n v="4"/>
    <s v="N05B"/>
    <x v="4"/>
    <n v="289"/>
    <x v="0"/>
    <x v="1"/>
  </r>
  <r>
    <d v="2018-04-30T00:00:00"/>
    <x v="4"/>
    <n v="4"/>
    <s v="N05C"/>
    <x v="5"/>
    <n v="14"/>
    <x v="0"/>
    <x v="1"/>
  </r>
  <r>
    <d v="2018-04-30T00:00:00"/>
    <x v="4"/>
    <n v="4"/>
    <s v="R03"/>
    <x v="6"/>
    <n v="229"/>
    <x v="0"/>
    <x v="2"/>
  </r>
  <r>
    <d v="2018-04-30T00:00:00"/>
    <x v="4"/>
    <n v="4"/>
    <s v="R06"/>
    <x v="7"/>
    <n v="197.1"/>
    <x v="0"/>
    <x v="2"/>
  </r>
  <r>
    <d v="2018-05-31T00:00:00"/>
    <x v="4"/>
    <n v="5"/>
    <s v="M01AB"/>
    <x v="0"/>
    <n v="160.52000000000001"/>
    <x v="0"/>
    <x v="0"/>
  </r>
  <r>
    <d v="2018-05-31T00:00:00"/>
    <x v="4"/>
    <n v="5"/>
    <s v="M01AE"/>
    <x v="1"/>
    <n v="103.52"/>
    <x v="0"/>
    <x v="0"/>
  </r>
  <r>
    <d v="2018-05-31T00:00:00"/>
    <x v="4"/>
    <n v="5"/>
    <s v="N02BA"/>
    <x v="2"/>
    <n v="89.4"/>
    <x v="0"/>
    <x v="1"/>
  </r>
  <r>
    <d v="2018-05-31T00:00:00"/>
    <x v="4"/>
    <n v="5"/>
    <s v="N02BE"/>
    <x v="3"/>
    <n v="644.65"/>
    <x v="0"/>
    <x v="1"/>
  </r>
  <r>
    <d v="2018-05-31T00:00:00"/>
    <x v="4"/>
    <n v="5"/>
    <s v="N05B"/>
    <x v="4"/>
    <n v="259"/>
    <x v="0"/>
    <x v="1"/>
  </r>
  <r>
    <d v="2018-05-31T00:00:00"/>
    <x v="4"/>
    <n v="5"/>
    <s v="N05C"/>
    <x v="5"/>
    <n v="13"/>
    <x v="0"/>
    <x v="1"/>
  </r>
  <r>
    <d v="2018-05-31T00:00:00"/>
    <x v="4"/>
    <n v="5"/>
    <s v="R03"/>
    <x v="6"/>
    <n v="167"/>
    <x v="0"/>
    <x v="2"/>
  </r>
  <r>
    <d v="2018-05-31T00:00:00"/>
    <x v="4"/>
    <n v="5"/>
    <s v="R06"/>
    <x v="7"/>
    <n v="213.04"/>
    <x v="0"/>
    <x v="2"/>
  </r>
  <r>
    <d v="2018-06-30T00:00:00"/>
    <x v="4"/>
    <n v="6"/>
    <s v="M01AB"/>
    <x v="0"/>
    <n v="141.18"/>
    <x v="0"/>
    <x v="0"/>
  </r>
  <r>
    <d v="2018-06-30T00:00:00"/>
    <x v="4"/>
    <n v="6"/>
    <s v="M01AE"/>
    <x v="1"/>
    <n v="114.23"/>
    <x v="0"/>
    <x v="0"/>
  </r>
  <r>
    <d v="2018-06-30T00:00:00"/>
    <x v="4"/>
    <n v="6"/>
    <s v="N02BA"/>
    <x v="2"/>
    <n v="86.8"/>
    <x v="0"/>
    <x v="1"/>
  </r>
  <r>
    <d v="2018-06-30T00:00:00"/>
    <x v="4"/>
    <n v="6"/>
    <s v="N02BE"/>
    <x v="3"/>
    <n v="584.34"/>
    <x v="0"/>
    <x v="1"/>
  </r>
  <r>
    <d v="2018-06-30T00:00:00"/>
    <x v="4"/>
    <n v="6"/>
    <s v="N05B"/>
    <x v="4"/>
    <n v="248"/>
    <x v="0"/>
    <x v="1"/>
  </r>
  <r>
    <d v="2018-06-30T00:00:00"/>
    <x v="4"/>
    <n v="6"/>
    <s v="N05C"/>
    <x v="5"/>
    <n v="18"/>
    <x v="0"/>
    <x v="1"/>
  </r>
  <r>
    <d v="2018-06-30T00:00:00"/>
    <x v="4"/>
    <n v="6"/>
    <s v="R03"/>
    <x v="6"/>
    <n v="101"/>
    <x v="0"/>
    <x v="2"/>
  </r>
  <r>
    <d v="2018-06-30T00:00:00"/>
    <x v="4"/>
    <n v="6"/>
    <s v="R06"/>
    <x v="7"/>
    <n v="120.8"/>
    <x v="0"/>
    <x v="2"/>
  </r>
  <r>
    <d v="2018-07-31T00:00:00"/>
    <x v="4"/>
    <n v="7"/>
    <s v="M01AB"/>
    <x v="0"/>
    <n v="150.18"/>
    <x v="0"/>
    <x v="0"/>
  </r>
  <r>
    <d v="2018-07-31T00:00:00"/>
    <x v="4"/>
    <n v="7"/>
    <s v="M01AE"/>
    <x v="1"/>
    <n v="132.55000000000001"/>
    <x v="0"/>
    <x v="0"/>
  </r>
  <r>
    <d v="2018-07-31T00:00:00"/>
    <x v="4"/>
    <n v="7"/>
    <s v="N02BA"/>
    <x v="2"/>
    <n v="87.2"/>
    <x v="0"/>
    <x v="1"/>
  </r>
  <r>
    <d v="2018-07-31T00:00:00"/>
    <x v="4"/>
    <n v="7"/>
    <s v="N02BE"/>
    <x v="3"/>
    <n v="679.35"/>
    <x v="0"/>
    <x v="1"/>
  </r>
  <r>
    <d v="2018-07-31T00:00:00"/>
    <x v="4"/>
    <n v="7"/>
    <s v="N05B"/>
    <x v="4"/>
    <n v="283"/>
    <x v="0"/>
    <x v="1"/>
  </r>
  <r>
    <d v="2018-07-31T00:00:00"/>
    <x v="4"/>
    <n v="7"/>
    <s v="N05C"/>
    <x v="5"/>
    <n v="19"/>
    <x v="0"/>
    <x v="1"/>
  </r>
  <r>
    <d v="2018-07-31T00:00:00"/>
    <x v="4"/>
    <n v="7"/>
    <s v="R03"/>
    <x v="6"/>
    <n v="90"/>
    <x v="0"/>
    <x v="2"/>
  </r>
  <r>
    <d v="2018-07-31T00:00:00"/>
    <x v="4"/>
    <n v="7"/>
    <s v="R06"/>
    <x v="7"/>
    <n v="122.2"/>
    <x v="0"/>
    <x v="2"/>
  </r>
  <r>
    <d v="2018-08-31T00:00:00"/>
    <x v="4"/>
    <n v="8"/>
    <s v="M01AB"/>
    <x v="0"/>
    <n v="140"/>
    <x v="0"/>
    <x v="0"/>
  </r>
  <r>
    <d v="2018-08-31T00:00:00"/>
    <x v="4"/>
    <n v="8"/>
    <s v="M01AE"/>
    <x v="1"/>
    <n v="114.72"/>
    <x v="0"/>
    <x v="0"/>
  </r>
  <r>
    <d v="2018-08-31T00:00:00"/>
    <x v="4"/>
    <n v="8"/>
    <s v="N02BA"/>
    <x v="2"/>
    <n v="88.25"/>
    <x v="0"/>
    <x v="1"/>
  </r>
  <r>
    <d v="2018-08-31T00:00:00"/>
    <x v="4"/>
    <n v="8"/>
    <s v="N02BE"/>
    <x v="3"/>
    <n v="733.84"/>
    <x v="0"/>
    <x v="1"/>
  </r>
  <r>
    <d v="2018-08-31T00:00:00"/>
    <x v="4"/>
    <n v="8"/>
    <s v="N05B"/>
    <x v="4"/>
    <n v="253"/>
    <x v="0"/>
    <x v="1"/>
  </r>
  <r>
    <d v="2018-08-31T00:00:00"/>
    <x v="4"/>
    <n v="8"/>
    <s v="N05C"/>
    <x v="5"/>
    <n v="20"/>
    <x v="0"/>
    <x v="1"/>
  </r>
  <r>
    <d v="2018-08-31T00:00:00"/>
    <x v="4"/>
    <n v="8"/>
    <s v="R03"/>
    <x v="6"/>
    <n v="159"/>
    <x v="0"/>
    <x v="2"/>
  </r>
  <r>
    <d v="2018-08-31T00:00:00"/>
    <x v="4"/>
    <n v="8"/>
    <s v="R06"/>
    <x v="7"/>
    <n v="103.1"/>
    <x v="0"/>
    <x v="2"/>
  </r>
  <r>
    <d v="2018-09-30T00:00:00"/>
    <x v="4"/>
    <n v="9"/>
    <s v="M01AB"/>
    <x v="0"/>
    <n v="153.52000000000001"/>
    <x v="0"/>
    <x v="0"/>
  </r>
  <r>
    <d v="2018-09-30T00:00:00"/>
    <x v="4"/>
    <n v="9"/>
    <s v="M01AE"/>
    <x v="1"/>
    <n v="114.99"/>
    <x v="0"/>
    <x v="0"/>
  </r>
  <r>
    <d v="2018-09-30T00:00:00"/>
    <x v="4"/>
    <n v="9"/>
    <s v="N02BA"/>
    <x v="2"/>
    <n v="86.5"/>
    <x v="0"/>
    <x v="1"/>
  </r>
  <r>
    <d v="2018-09-30T00:00:00"/>
    <x v="4"/>
    <n v="9"/>
    <s v="N02BE"/>
    <x v="3"/>
    <n v="1058.26"/>
    <x v="0"/>
    <x v="1"/>
  </r>
  <r>
    <d v="2018-09-30T00:00:00"/>
    <x v="4"/>
    <n v="9"/>
    <s v="N05B"/>
    <x v="4"/>
    <n v="263"/>
    <x v="0"/>
    <x v="1"/>
  </r>
  <r>
    <d v="2018-09-30T00:00:00"/>
    <x v="4"/>
    <n v="9"/>
    <s v="N05C"/>
    <x v="5"/>
    <n v="12"/>
    <x v="0"/>
    <x v="1"/>
  </r>
  <r>
    <d v="2018-09-30T00:00:00"/>
    <x v="4"/>
    <n v="9"/>
    <s v="R03"/>
    <x v="6"/>
    <n v="205"/>
    <x v="0"/>
    <x v="2"/>
  </r>
  <r>
    <d v="2018-09-30T00:00:00"/>
    <x v="4"/>
    <n v="9"/>
    <s v="R06"/>
    <x v="7"/>
    <n v="88.1"/>
    <x v="0"/>
    <x v="2"/>
  </r>
  <r>
    <d v="2018-10-31T00:00:00"/>
    <x v="4"/>
    <n v="10"/>
    <s v="M01AB"/>
    <x v="0"/>
    <n v="144.71"/>
    <x v="0"/>
    <x v="0"/>
  </r>
  <r>
    <d v="2018-10-31T00:00:00"/>
    <x v="4"/>
    <n v="10"/>
    <s v="M01AE"/>
    <x v="1"/>
    <n v="129.4"/>
    <x v="0"/>
    <x v="0"/>
  </r>
  <r>
    <d v="2018-10-31T00:00:00"/>
    <x v="4"/>
    <n v="10"/>
    <s v="N02BA"/>
    <x v="2"/>
    <n v="76.05"/>
    <x v="0"/>
    <x v="1"/>
  </r>
  <r>
    <d v="2018-10-31T00:00:00"/>
    <x v="4"/>
    <n v="10"/>
    <s v="N02BE"/>
    <x v="3"/>
    <n v="1129.28"/>
    <x v="0"/>
    <x v="1"/>
  </r>
  <r>
    <d v="2018-10-31T00:00:00"/>
    <x v="4"/>
    <n v="10"/>
    <s v="N05B"/>
    <x v="4"/>
    <n v="287"/>
    <x v="0"/>
    <x v="1"/>
  </r>
  <r>
    <d v="2018-10-31T00:00:00"/>
    <x v="4"/>
    <n v="10"/>
    <s v="N05C"/>
    <x v="5"/>
    <n v="25"/>
    <x v="0"/>
    <x v="1"/>
  </r>
  <r>
    <d v="2018-10-31T00:00:00"/>
    <x v="4"/>
    <n v="10"/>
    <s v="R03"/>
    <x v="6"/>
    <n v="327"/>
    <x v="0"/>
    <x v="2"/>
  </r>
  <r>
    <d v="2018-10-31T00:00:00"/>
    <x v="4"/>
    <n v="10"/>
    <s v="R06"/>
    <x v="7"/>
    <n v="76.900000000000006"/>
    <x v="0"/>
    <x v="2"/>
  </r>
  <r>
    <d v="2018-11-30T00:00:00"/>
    <x v="4"/>
    <n v="11"/>
    <s v="M01AB"/>
    <x v="0"/>
    <n v="172.29"/>
    <x v="0"/>
    <x v="0"/>
  </r>
  <r>
    <d v="2018-11-30T00:00:00"/>
    <x v="4"/>
    <n v="11"/>
    <s v="M01AE"/>
    <x v="1"/>
    <n v="105.49"/>
    <x v="0"/>
    <x v="0"/>
  </r>
  <r>
    <d v="2018-11-30T00:00:00"/>
    <x v="4"/>
    <n v="11"/>
    <s v="N02BA"/>
    <x v="2"/>
    <n v="102.15"/>
    <x v="0"/>
    <x v="1"/>
  </r>
  <r>
    <d v="2018-11-30T00:00:00"/>
    <x v="4"/>
    <n v="11"/>
    <s v="N02BE"/>
    <x v="3"/>
    <n v="995.15"/>
    <x v="0"/>
    <x v="1"/>
  </r>
  <r>
    <d v="2018-11-30T00:00:00"/>
    <x v="4"/>
    <n v="11"/>
    <s v="N05B"/>
    <x v="4"/>
    <n v="252.2"/>
    <x v="0"/>
    <x v="1"/>
  </r>
  <r>
    <d v="2018-11-30T00:00:00"/>
    <x v="4"/>
    <n v="11"/>
    <s v="N05C"/>
    <x v="5"/>
    <n v="22"/>
    <x v="0"/>
    <x v="1"/>
  </r>
  <r>
    <d v="2018-11-30T00:00:00"/>
    <x v="4"/>
    <n v="11"/>
    <s v="R03"/>
    <x v="6"/>
    <n v="311"/>
    <x v="0"/>
    <x v="2"/>
  </r>
  <r>
    <d v="2018-11-30T00:00:00"/>
    <x v="4"/>
    <n v="11"/>
    <s v="R06"/>
    <x v="7"/>
    <n v="48.4"/>
    <x v="0"/>
    <x v="2"/>
  </r>
  <r>
    <d v="2018-12-31T00:00:00"/>
    <x v="4"/>
    <n v="12"/>
    <s v="M01AB"/>
    <x v="0"/>
    <n v="147.71"/>
    <x v="0"/>
    <x v="0"/>
  </r>
  <r>
    <d v="2018-12-31T00:00:00"/>
    <x v="4"/>
    <n v="12"/>
    <s v="M01AE"/>
    <x v="1"/>
    <n v="113.02"/>
    <x v="0"/>
    <x v="0"/>
  </r>
  <r>
    <d v="2018-12-31T00:00:00"/>
    <x v="4"/>
    <n v="12"/>
    <s v="N02BA"/>
    <x v="2"/>
    <n v="84.75"/>
    <x v="0"/>
    <x v="1"/>
  </r>
  <r>
    <d v="2018-12-31T00:00:00"/>
    <x v="4"/>
    <n v="12"/>
    <s v="N02BE"/>
    <x v="3"/>
    <n v="1213.95"/>
    <x v="0"/>
    <x v="1"/>
  </r>
  <r>
    <d v="2018-12-31T00:00:00"/>
    <x v="4"/>
    <n v="12"/>
    <s v="N05B"/>
    <x v="4"/>
    <n v="254"/>
    <x v="0"/>
    <x v="1"/>
  </r>
  <r>
    <d v="2018-12-31T00:00:00"/>
    <x v="4"/>
    <n v="12"/>
    <s v="N05C"/>
    <x v="5"/>
    <n v="27"/>
    <x v="0"/>
    <x v="1"/>
  </r>
  <r>
    <d v="2018-12-31T00:00:00"/>
    <x v="4"/>
    <n v="12"/>
    <s v="R03"/>
    <x v="6"/>
    <n v="354"/>
    <x v="0"/>
    <x v="2"/>
  </r>
  <r>
    <d v="2018-12-31T00:00:00"/>
    <x v="4"/>
    <n v="12"/>
    <s v="R06"/>
    <x v="7"/>
    <n v="53.1"/>
    <x v="0"/>
    <x v="2"/>
  </r>
  <r>
    <d v="2019-01-31T00:00:00"/>
    <x v="5"/>
    <n v="1"/>
    <s v="M01AB"/>
    <x v="0"/>
    <n v="179.7"/>
    <x v="0"/>
    <x v="0"/>
  </r>
  <r>
    <d v="2019-01-31T00:00:00"/>
    <x v="5"/>
    <n v="1"/>
    <s v="M01AE"/>
    <x v="1"/>
    <n v="189.65"/>
    <x v="0"/>
    <x v="0"/>
  </r>
  <r>
    <d v="2019-01-31T00:00:00"/>
    <x v="5"/>
    <n v="1"/>
    <s v="N02BA"/>
    <x v="2"/>
    <n v="99.7"/>
    <x v="0"/>
    <x v="1"/>
  </r>
  <r>
    <d v="2019-01-31T00:00:00"/>
    <x v="5"/>
    <n v="1"/>
    <s v="N02BE"/>
    <x v="3"/>
    <n v="1660.61"/>
    <x v="0"/>
    <x v="1"/>
  </r>
  <r>
    <d v="2019-01-31T00:00:00"/>
    <x v="5"/>
    <n v="1"/>
    <s v="N05B"/>
    <x v="4"/>
    <n v="295.2"/>
    <x v="0"/>
    <x v="1"/>
  </r>
  <r>
    <d v="2019-01-31T00:00:00"/>
    <x v="5"/>
    <n v="1"/>
    <s v="N05C"/>
    <x v="5"/>
    <n v="23"/>
    <x v="0"/>
    <x v="1"/>
  </r>
  <r>
    <d v="2019-01-31T00:00:00"/>
    <x v="5"/>
    <n v="1"/>
    <s v="R03"/>
    <x v="6"/>
    <n v="386"/>
    <x v="0"/>
    <x v="2"/>
  </r>
  <r>
    <d v="2019-01-31T00:00:00"/>
    <x v="5"/>
    <n v="1"/>
    <s v="R06"/>
    <x v="7"/>
    <n v="41.3"/>
    <x v="0"/>
    <x v="2"/>
  </r>
  <r>
    <d v="2019-02-28T00:00:00"/>
    <x v="5"/>
    <n v="2"/>
    <s v="M01AB"/>
    <x v="0"/>
    <n v="133.72999999999999"/>
    <x v="0"/>
    <x v="0"/>
  </r>
  <r>
    <d v="2019-02-28T00:00:00"/>
    <x v="5"/>
    <n v="2"/>
    <s v="M01AE"/>
    <x v="1"/>
    <n v="142.16"/>
    <x v="0"/>
    <x v="0"/>
  </r>
  <r>
    <d v="2019-02-28T00:00:00"/>
    <x v="5"/>
    <n v="2"/>
    <s v="N02BA"/>
    <x v="2"/>
    <n v="110.2"/>
    <x v="0"/>
    <x v="1"/>
  </r>
  <r>
    <d v="2019-02-28T00:00:00"/>
    <x v="5"/>
    <n v="2"/>
    <s v="N02BE"/>
    <x v="3"/>
    <n v="1001.21"/>
    <x v="0"/>
    <x v="1"/>
  </r>
  <r>
    <d v="2019-02-28T00:00:00"/>
    <x v="5"/>
    <n v="2"/>
    <s v="N05B"/>
    <x v="4"/>
    <n v="249.4"/>
    <x v="0"/>
    <x v="1"/>
  </r>
  <r>
    <d v="2019-02-28T00:00:00"/>
    <x v="5"/>
    <n v="2"/>
    <s v="N05C"/>
    <x v="5"/>
    <n v="12"/>
    <x v="0"/>
    <x v="1"/>
  </r>
  <r>
    <d v="2019-02-28T00:00:00"/>
    <x v="5"/>
    <n v="2"/>
    <s v="R03"/>
    <x v="6"/>
    <n v="226"/>
    <x v="0"/>
    <x v="2"/>
  </r>
  <r>
    <d v="2019-02-28T00:00:00"/>
    <x v="5"/>
    <n v="2"/>
    <s v="R06"/>
    <x v="7"/>
    <n v="69.5"/>
    <x v="0"/>
    <x v="2"/>
  </r>
  <r>
    <d v="2019-03-31T00:00:00"/>
    <x v="5"/>
    <n v="3"/>
    <s v="M01AB"/>
    <x v="0"/>
    <n v="154.52000000000001"/>
    <x v="0"/>
    <x v="0"/>
  </r>
  <r>
    <d v="2019-03-31T00:00:00"/>
    <x v="5"/>
    <n v="3"/>
    <s v="M01AE"/>
    <x v="1"/>
    <n v="113.12"/>
    <x v="0"/>
    <x v="0"/>
  </r>
  <r>
    <d v="2019-03-31T00:00:00"/>
    <x v="5"/>
    <n v="3"/>
    <s v="N02BA"/>
    <x v="2"/>
    <n v="83.35"/>
    <x v="0"/>
    <x v="1"/>
  </r>
  <r>
    <d v="2019-03-31T00:00:00"/>
    <x v="5"/>
    <n v="3"/>
    <s v="N02BE"/>
    <x v="3"/>
    <n v="941.05"/>
    <x v="0"/>
    <x v="1"/>
  </r>
  <r>
    <d v="2019-03-31T00:00:00"/>
    <x v="5"/>
    <n v="3"/>
    <s v="N05B"/>
    <x v="4"/>
    <n v="301.39999999999998"/>
    <x v="0"/>
    <x v="1"/>
  </r>
  <r>
    <d v="2019-03-31T00:00:00"/>
    <x v="5"/>
    <n v="3"/>
    <s v="N05C"/>
    <x v="5"/>
    <n v="19"/>
    <x v="0"/>
    <x v="1"/>
  </r>
  <r>
    <d v="2019-03-31T00:00:00"/>
    <x v="5"/>
    <n v="3"/>
    <s v="R03"/>
    <x v="6"/>
    <n v="257"/>
    <x v="0"/>
    <x v="2"/>
  </r>
  <r>
    <d v="2019-03-31T00:00:00"/>
    <x v="5"/>
    <n v="3"/>
    <s v="R06"/>
    <x v="7"/>
    <n v="169.5"/>
    <x v="0"/>
    <x v="2"/>
  </r>
  <r>
    <d v="2019-04-30T00:00:00"/>
    <x v="5"/>
    <n v="4"/>
    <s v="M01AB"/>
    <x v="0"/>
    <n v="161.38999999999999"/>
    <x v="0"/>
    <x v="0"/>
  </r>
  <r>
    <d v="2019-04-30T00:00:00"/>
    <x v="5"/>
    <n v="4"/>
    <s v="M01AE"/>
    <x v="1"/>
    <n v="100.17"/>
    <x v="0"/>
    <x v="0"/>
  </r>
  <r>
    <d v="2019-04-30T00:00:00"/>
    <x v="5"/>
    <n v="4"/>
    <s v="N02BA"/>
    <x v="2"/>
    <n v="88.1"/>
    <x v="0"/>
    <x v="1"/>
  </r>
  <r>
    <d v="2019-04-30T00:00:00"/>
    <x v="5"/>
    <n v="4"/>
    <s v="N02BE"/>
    <x v="3"/>
    <n v="647.65"/>
    <x v="0"/>
    <x v="1"/>
  </r>
  <r>
    <d v="2019-04-30T00:00:00"/>
    <x v="5"/>
    <n v="4"/>
    <s v="N05B"/>
    <x v="4"/>
    <n v="299.39999999999998"/>
    <x v="0"/>
    <x v="1"/>
  </r>
  <r>
    <d v="2019-04-30T00:00:00"/>
    <x v="5"/>
    <n v="4"/>
    <s v="N05C"/>
    <x v="5"/>
    <n v="22"/>
    <x v="0"/>
    <x v="1"/>
  </r>
  <r>
    <d v="2019-04-30T00:00:00"/>
    <x v="5"/>
    <n v="4"/>
    <s v="R03"/>
    <x v="6"/>
    <n v="219"/>
    <x v="0"/>
    <x v="2"/>
  </r>
  <r>
    <d v="2019-04-30T00:00:00"/>
    <x v="5"/>
    <n v="4"/>
    <s v="R06"/>
    <x v="7"/>
    <n v="179.1"/>
    <x v="0"/>
    <x v="2"/>
  </r>
  <r>
    <d v="2019-05-31T00:00:00"/>
    <x v="5"/>
    <n v="5"/>
    <s v="M01AB"/>
    <x v="0"/>
    <n v="168.04"/>
    <x v="0"/>
    <x v="0"/>
  </r>
  <r>
    <d v="2019-05-31T00:00:00"/>
    <x v="5"/>
    <n v="5"/>
    <s v="M01AE"/>
    <x v="1"/>
    <n v="97.26"/>
    <x v="0"/>
    <x v="0"/>
  </r>
  <r>
    <d v="2019-05-31T00:00:00"/>
    <x v="5"/>
    <n v="5"/>
    <s v="N02BA"/>
    <x v="2"/>
    <n v="104.1"/>
    <x v="0"/>
    <x v="1"/>
  </r>
  <r>
    <d v="2019-05-31T00:00:00"/>
    <x v="5"/>
    <n v="5"/>
    <s v="N02BE"/>
    <x v="3"/>
    <n v="703.56"/>
    <x v="0"/>
    <x v="1"/>
  </r>
  <r>
    <d v="2019-05-31T00:00:00"/>
    <x v="5"/>
    <n v="5"/>
    <s v="N05B"/>
    <x v="4"/>
    <n v="265.8"/>
    <x v="0"/>
    <x v="1"/>
  </r>
  <r>
    <d v="2019-05-31T00:00:00"/>
    <x v="5"/>
    <n v="5"/>
    <s v="N05C"/>
    <x v="5"/>
    <n v="26"/>
    <x v="0"/>
    <x v="1"/>
  </r>
  <r>
    <d v="2019-05-31T00:00:00"/>
    <x v="5"/>
    <n v="5"/>
    <s v="R03"/>
    <x v="6"/>
    <n v="298.29000000000002"/>
    <x v="0"/>
    <x v="2"/>
  </r>
  <r>
    <d v="2019-05-31T00:00:00"/>
    <x v="5"/>
    <n v="5"/>
    <s v="R06"/>
    <x v="7"/>
    <n v="135.4"/>
    <x v="0"/>
    <x v="2"/>
  </r>
  <r>
    <d v="2019-06-30T00:00:00"/>
    <x v="5"/>
    <n v="6"/>
    <s v="M01AB"/>
    <x v="0"/>
    <n v="151.54"/>
    <x v="0"/>
    <x v="0"/>
  </r>
  <r>
    <d v="2019-06-30T00:00:00"/>
    <x v="5"/>
    <n v="6"/>
    <s v="M01AE"/>
    <x v="1"/>
    <n v="101.63"/>
    <x v="0"/>
    <x v="0"/>
  </r>
  <r>
    <d v="2019-06-30T00:00:00"/>
    <x v="5"/>
    <n v="6"/>
    <s v="N02BA"/>
    <x v="2"/>
    <n v="103.2"/>
    <x v="0"/>
    <x v="1"/>
  </r>
  <r>
    <d v="2019-06-30T00:00:00"/>
    <x v="5"/>
    <n v="6"/>
    <s v="N02BE"/>
    <x v="3"/>
    <n v="610"/>
    <x v="0"/>
    <x v="1"/>
  </r>
  <r>
    <d v="2019-06-30T00:00:00"/>
    <x v="5"/>
    <n v="6"/>
    <s v="N05B"/>
    <x v="4"/>
    <n v="193"/>
    <x v="0"/>
    <x v="1"/>
  </r>
  <r>
    <d v="2019-06-30T00:00:00"/>
    <x v="5"/>
    <n v="6"/>
    <s v="N05C"/>
    <x v="5"/>
    <n v="25"/>
    <x v="0"/>
    <x v="1"/>
  </r>
  <r>
    <d v="2019-06-30T00:00:00"/>
    <x v="5"/>
    <n v="6"/>
    <s v="R03"/>
    <x v="6"/>
    <n v="142"/>
    <x v="0"/>
    <x v="2"/>
  </r>
  <r>
    <d v="2019-06-30T00:00:00"/>
    <x v="5"/>
    <n v="6"/>
    <s v="R06"/>
    <x v="7"/>
    <n v="156.04"/>
    <x v="0"/>
    <x v="2"/>
  </r>
  <r>
    <d v="2019-07-31T00:00:00"/>
    <x v="5"/>
    <n v="7"/>
    <s v="M01AB"/>
    <x v="0"/>
    <n v="181"/>
    <x v="0"/>
    <x v="0"/>
  </r>
  <r>
    <d v="2019-07-31T00:00:00"/>
    <x v="5"/>
    <n v="7"/>
    <s v="M01AE"/>
    <x v="1"/>
    <n v="103.54"/>
    <x v="0"/>
    <x v="0"/>
  </r>
  <r>
    <d v="2019-07-31T00:00:00"/>
    <x v="5"/>
    <n v="7"/>
    <s v="N02BA"/>
    <x v="2"/>
    <n v="92.8"/>
    <x v="0"/>
    <x v="1"/>
  </r>
  <r>
    <d v="2019-07-31T00:00:00"/>
    <x v="5"/>
    <n v="7"/>
    <s v="N02BE"/>
    <x v="3"/>
    <n v="620.66999999999996"/>
    <x v="0"/>
    <x v="1"/>
  </r>
  <r>
    <d v="2019-07-31T00:00:00"/>
    <x v="5"/>
    <n v="7"/>
    <s v="N05B"/>
    <x v="4"/>
    <n v="250.6"/>
    <x v="0"/>
    <x v="1"/>
  </r>
  <r>
    <d v="2019-07-31T00:00:00"/>
    <x v="5"/>
    <n v="7"/>
    <s v="N05C"/>
    <x v="5"/>
    <n v="20"/>
    <x v="0"/>
    <x v="1"/>
  </r>
  <r>
    <d v="2019-07-31T00:00:00"/>
    <x v="5"/>
    <n v="7"/>
    <s v="R03"/>
    <x v="6"/>
    <n v="115"/>
    <x v="0"/>
    <x v="2"/>
  </r>
  <r>
    <d v="2019-07-31T00:00:00"/>
    <x v="5"/>
    <n v="7"/>
    <s v="R06"/>
    <x v="7"/>
    <n v="105.2"/>
    <x v="0"/>
    <x v="2"/>
  </r>
  <r>
    <d v="2019-08-31T00:00:00"/>
    <x v="5"/>
    <n v="8"/>
    <s v="M01AB"/>
    <x v="0"/>
    <n v="181.91"/>
    <x v="0"/>
    <x v="0"/>
  </r>
  <r>
    <d v="2019-08-31T00:00:00"/>
    <x v="5"/>
    <n v="8"/>
    <s v="M01AE"/>
    <x v="1"/>
    <n v="88.27"/>
    <x v="0"/>
    <x v="0"/>
  </r>
  <r>
    <d v="2019-08-31T00:00:00"/>
    <x v="5"/>
    <n v="8"/>
    <s v="N02BA"/>
    <x v="2"/>
    <n v="84.2"/>
    <x v="0"/>
    <x v="1"/>
  </r>
  <r>
    <d v="2019-08-31T00:00:00"/>
    <x v="5"/>
    <n v="8"/>
    <s v="N02BE"/>
    <x v="3"/>
    <n v="518.1"/>
    <x v="0"/>
    <x v="1"/>
  </r>
  <r>
    <d v="2019-08-31T00:00:00"/>
    <x v="5"/>
    <n v="8"/>
    <s v="N05B"/>
    <x v="4"/>
    <n v="237"/>
    <x v="0"/>
    <x v="1"/>
  </r>
  <r>
    <d v="2019-08-31T00:00:00"/>
    <x v="5"/>
    <n v="8"/>
    <s v="N05C"/>
    <x v="5"/>
    <n v="26"/>
    <x v="0"/>
    <x v="1"/>
  </r>
  <r>
    <d v="2019-08-31T00:00:00"/>
    <x v="5"/>
    <n v="8"/>
    <s v="R03"/>
    <x v="6"/>
    <n v="145"/>
    <x v="0"/>
    <x v="2"/>
  </r>
  <r>
    <d v="2019-08-31T00:00:00"/>
    <x v="5"/>
    <n v="8"/>
    <s v="R06"/>
    <x v="7"/>
    <n v="97.3"/>
    <x v="0"/>
    <x v="2"/>
  </r>
  <r>
    <d v="2019-09-30T00:00:00"/>
    <x v="5"/>
    <n v="9"/>
    <s v="M01AB"/>
    <x v="0"/>
    <n v="161.07"/>
    <x v="0"/>
    <x v="0"/>
  </r>
  <r>
    <d v="2019-09-30T00:00:00"/>
    <x v="5"/>
    <n v="9"/>
    <s v="M01AE"/>
    <x v="1"/>
    <n v="111.44"/>
    <x v="0"/>
    <x v="0"/>
  </r>
  <r>
    <d v="2019-09-30T00:00:00"/>
    <x v="5"/>
    <n v="9"/>
    <s v="N02BA"/>
    <x v="2"/>
    <n v="93.5"/>
    <x v="0"/>
    <x v="1"/>
  </r>
  <r>
    <d v="2019-09-30T00:00:00"/>
    <x v="5"/>
    <n v="9"/>
    <s v="N02BE"/>
    <x v="3"/>
    <n v="984.48"/>
    <x v="0"/>
    <x v="1"/>
  </r>
  <r>
    <d v="2019-09-30T00:00:00"/>
    <x v="5"/>
    <n v="9"/>
    <s v="N05B"/>
    <x v="4"/>
    <n v="227.8"/>
    <x v="0"/>
    <x v="1"/>
  </r>
  <r>
    <d v="2019-09-30T00:00:00"/>
    <x v="5"/>
    <n v="9"/>
    <s v="N05C"/>
    <x v="5"/>
    <n v="16"/>
    <x v="0"/>
    <x v="1"/>
  </r>
  <r>
    <d v="2019-09-30T00:00:00"/>
    <x v="5"/>
    <n v="9"/>
    <s v="R03"/>
    <x v="6"/>
    <n v="121.42"/>
    <x v="0"/>
    <x v="2"/>
  </r>
  <r>
    <d v="2019-09-30T00:00:00"/>
    <x v="5"/>
    <n v="9"/>
    <s v="R06"/>
    <x v="7"/>
    <n v="109.1"/>
    <x v="0"/>
    <x v="2"/>
  </r>
  <r>
    <d v="2019-10-31T00:00:00"/>
    <x v="5"/>
    <n v="10"/>
    <s v="M01AB"/>
    <x v="0"/>
    <n v="44.37"/>
    <x v="1"/>
    <x v="0"/>
  </r>
  <r>
    <d v="2019-10-31T00:00:00"/>
    <x v="5"/>
    <n v="10"/>
    <s v="M01AE"/>
    <x v="1"/>
    <n v="37.299999999999997"/>
    <x v="1"/>
    <x v="0"/>
  </r>
  <r>
    <d v="2019-10-31T00:00:00"/>
    <x v="5"/>
    <n v="10"/>
    <s v="N02BA"/>
    <x v="2"/>
    <n v="20.65"/>
    <x v="1"/>
    <x v="1"/>
  </r>
  <r>
    <d v="2019-10-31T00:00:00"/>
    <x v="5"/>
    <n v="10"/>
    <s v="N02BE"/>
    <x v="3"/>
    <n v="295.14999999999998"/>
    <x v="1"/>
    <x v="1"/>
  </r>
  <r>
    <d v="2019-10-31T00:00:00"/>
    <x v="5"/>
    <n v="10"/>
    <s v="N05B"/>
    <x v="4"/>
    <n v="86"/>
    <x v="1"/>
    <x v="1"/>
  </r>
  <r>
    <d v="2019-10-31T00:00:00"/>
    <x v="5"/>
    <n v="10"/>
    <s v="N05C"/>
    <x v="5"/>
    <n v="7"/>
    <x v="1"/>
    <x v="1"/>
  </r>
  <r>
    <d v="2019-10-31T00:00:00"/>
    <x v="5"/>
    <n v="10"/>
    <s v="R03"/>
    <x v="6"/>
    <n v="37"/>
    <x v="1"/>
    <x v="2"/>
  </r>
  <r>
    <d v="2019-10-31T00:00:00"/>
    <x v="5"/>
    <n v="10"/>
    <s v="R06"/>
    <x v="7"/>
    <n v="11.13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H16" firstHeaderRow="1" firstDataRow="2" firstDataCol="1" rowPageCount="1" colPageCount="1"/>
  <pivotFields count="8">
    <pivotField numFmtId="164"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axis="axisRow" showAll="0">
      <items count="9">
        <item x="6"/>
        <item x="3"/>
        <item x="2"/>
        <item x="7"/>
        <item x="0"/>
        <item x="1"/>
        <item x="4"/>
        <item x="5"/>
        <item t="default"/>
      </items>
    </pivotField>
    <pivotField dataField="1" numFmtId="4" showAll="0"/>
    <pivotField axis="axisPage" showAll="0">
      <items count="3"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2">
    <field x="7"/>
    <field x="4"/>
  </rowFields>
  <rowItems count="12">
    <i>
      <x/>
    </i>
    <i r="1">
      <x v="4"/>
    </i>
    <i r="1">
      <x v="5"/>
    </i>
    <i>
      <x v="1"/>
    </i>
    <i r="1">
      <x v="1"/>
    </i>
    <i r="1">
      <x v="2"/>
    </i>
    <i r="1">
      <x v="6"/>
    </i>
    <i r="1">
      <x v="7"/>
    </i>
    <i>
      <x v="2"/>
    </i>
    <i r="1">
      <x/>
    </i>
    <i r="1">
      <x v="3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6" item="0" hier="-1"/>
  </pageFields>
  <dataFields count="1">
    <dataField name="Sum of Units Sold" fld="5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blSales" displayName="tblSales" ref="A1:H561" totalsRowShown="0">
  <autoFilter ref="A1:H561"/>
  <tableColumns count="8">
    <tableColumn id="1" name="Month"/>
    <tableColumn id="2" name="Year"/>
    <tableColumn id="3" name="Month No"/>
    <tableColumn id="4" name="Category Code"/>
    <tableColumn id="5" name="Category Name"/>
    <tableColumn id="6" name="Units Sold"/>
    <tableColumn id="7" name="Partial Month"/>
    <tableColumn id="8" name="ATC Main Group" dataDxfId="0">
      <calculatedColumnFormula>INDEX(Lookup!$C$2:$C$9,MATCH(tblSales[[#This Row],[Category Code]],Lookup!$A$2:$A$9,0))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zoomScaleNormal="100" workbookViewId="0"/>
  </sheetViews>
  <sheetFormatPr defaultColWidth="8.7109375" defaultRowHeight="15" x14ac:dyDescent="0.25"/>
  <sheetData>
    <row r="1" spans="1:1" ht="18" x14ac:dyDescent="0.25">
      <c r="A1" s="1" t="s">
        <v>0</v>
      </c>
    </row>
    <row r="2" spans="1:1" x14ac:dyDescent="0.25">
      <c r="A2" s="2" t="s">
        <v>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A8" sqref="A8"/>
    </sheetView>
  </sheetViews>
  <sheetFormatPr defaultRowHeight="15" x14ac:dyDescent="0.25"/>
  <cols>
    <col min="1" max="1" width="36.28515625" customWidth="1"/>
    <col min="2" max="2" width="16.28515625" bestFit="1" customWidth="1"/>
    <col min="3" max="7" width="6.5703125" customWidth="1"/>
    <col min="8" max="8" width="11.28515625" bestFit="1" customWidth="1"/>
  </cols>
  <sheetData>
    <row r="1" spans="1:8" x14ac:dyDescent="0.25">
      <c r="A1" s="15" t="s">
        <v>8</v>
      </c>
      <c r="B1" t="s">
        <v>69</v>
      </c>
    </row>
    <row r="3" spans="1:8" x14ac:dyDescent="0.25">
      <c r="A3" s="15" t="s">
        <v>68</v>
      </c>
      <c r="B3" s="15" t="s">
        <v>67</v>
      </c>
    </row>
    <row r="4" spans="1:8" x14ac:dyDescent="0.25">
      <c r="A4" s="15" t="s">
        <v>65</v>
      </c>
      <c r="B4">
        <v>2014</v>
      </c>
      <c r="C4">
        <v>2015</v>
      </c>
      <c r="D4">
        <v>2016</v>
      </c>
      <c r="E4">
        <v>2017</v>
      </c>
      <c r="F4">
        <v>2018</v>
      </c>
      <c r="G4">
        <v>2019</v>
      </c>
      <c r="H4" t="s">
        <v>66</v>
      </c>
    </row>
    <row r="5" spans="1:8" x14ac:dyDescent="0.25">
      <c r="A5" s="16" t="s">
        <v>20</v>
      </c>
      <c r="B5" s="18">
        <v>2704.2999999999997</v>
      </c>
      <c r="C5" s="18">
        <v>3392.22</v>
      </c>
      <c r="D5" s="18">
        <v>3696.75</v>
      </c>
      <c r="E5" s="18">
        <v>3233.92</v>
      </c>
      <c r="F5" s="18">
        <v>3176.58</v>
      </c>
      <c r="G5" s="18">
        <v>2520.14</v>
      </c>
      <c r="H5" s="18">
        <v>18723.91</v>
      </c>
    </row>
    <row r="6" spans="1:8" x14ac:dyDescent="0.25">
      <c r="A6" s="17" t="s">
        <v>19</v>
      </c>
      <c r="B6" s="18">
        <v>1447.2099999999998</v>
      </c>
      <c r="C6" s="18">
        <v>1895.62</v>
      </c>
      <c r="D6" s="18">
        <v>2107.29</v>
      </c>
      <c r="E6" s="18">
        <v>1846.61</v>
      </c>
      <c r="F6" s="18">
        <v>1786.93</v>
      </c>
      <c r="G6" s="18">
        <v>1472.8999999999999</v>
      </c>
      <c r="H6" s="18">
        <v>10556.56</v>
      </c>
    </row>
    <row r="7" spans="1:8" x14ac:dyDescent="0.25">
      <c r="A7" s="17" t="s">
        <v>21</v>
      </c>
      <c r="B7" s="18">
        <v>1257.0899999999999</v>
      </c>
      <c r="C7" s="18">
        <v>1496.6</v>
      </c>
      <c r="D7" s="18">
        <v>1589.4599999999998</v>
      </c>
      <c r="E7" s="18">
        <v>1387.3100000000002</v>
      </c>
      <c r="F7" s="18">
        <v>1389.65</v>
      </c>
      <c r="G7" s="18">
        <v>1047.24</v>
      </c>
      <c r="H7" s="18">
        <v>8167.35</v>
      </c>
    </row>
    <row r="8" spans="1:8" x14ac:dyDescent="0.25">
      <c r="A8" s="16" t="s">
        <v>23</v>
      </c>
      <c r="B8" s="18">
        <v>15478.529999999999</v>
      </c>
      <c r="C8" s="18">
        <v>16655.849999999999</v>
      </c>
      <c r="D8" s="18">
        <v>18336.13</v>
      </c>
      <c r="E8" s="18">
        <v>13282.990000000002</v>
      </c>
      <c r="F8" s="18">
        <v>15855.93</v>
      </c>
      <c r="G8" s="18">
        <v>11055.08</v>
      </c>
      <c r="H8" s="18">
        <v>90664.510000000024</v>
      </c>
    </row>
    <row r="9" spans="1:8" x14ac:dyDescent="0.25">
      <c r="A9" s="17" t="s">
        <v>24</v>
      </c>
      <c r="B9" s="18">
        <v>9274.3799999999992</v>
      </c>
      <c r="C9" s="18">
        <v>11923.22</v>
      </c>
      <c r="D9" s="18">
        <v>13335.580000000002</v>
      </c>
      <c r="E9" s="18">
        <v>9258.81</v>
      </c>
      <c r="F9" s="18">
        <v>11230.93</v>
      </c>
      <c r="G9" s="18">
        <v>7687.33</v>
      </c>
      <c r="H9" s="18">
        <v>62710.25</v>
      </c>
    </row>
    <row r="10" spans="1:8" x14ac:dyDescent="0.25">
      <c r="A10" s="17" t="s">
        <v>22</v>
      </c>
      <c r="B10" s="18">
        <v>1616.4699999999998</v>
      </c>
      <c r="C10" s="18">
        <v>1608.6300000000003</v>
      </c>
      <c r="D10" s="18">
        <v>1655.2199999999998</v>
      </c>
      <c r="E10" s="18">
        <v>1288.3000000000002</v>
      </c>
      <c r="F10" s="18">
        <v>1123.8</v>
      </c>
      <c r="G10" s="18">
        <v>859.15000000000009</v>
      </c>
      <c r="H10" s="18">
        <v>8151.57</v>
      </c>
    </row>
    <row r="11" spans="1:8" x14ac:dyDescent="0.25">
      <c r="A11" s="17" t="s">
        <v>25</v>
      </c>
      <c r="B11" s="18">
        <v>4315.0599999999995</v>
      </c>
      <c r="C11" s="18">
        <v>2965</v>
      </c>
      <c r="D11" s="18">
        <v>3138.33</v>
      </c>
      <c r="E11" s="18">
        <v>2555.54</v>
      </c>
      <c r="F11" s="18">
        <v>3266.2</v>
      </c>
      <c r="G11" s="18">
        <v>2319.6000000000004</v>
      </c>
      <c r="H11" s="18">
        <v>18559.730000000003</v>
      </c>
    </row>
    <row r="12" spans="1:8" x14ac:dyDescent="0.25">
      <c r="A12" s="17" t="s">
        <v>26</v>
      </c>
      <c r="B12" s="18">
        <v>272.62</v>
      </c>
      <c r="C12" s="18">
        <v>159</v>
      </c>
      <c r="D12" s="18">
        <v>207</v>
      </c>
      <c r="E12" s="18">
        <v>180.34</v>
      </c>
      <c r="F12" s="18">
        <v>235</v>
      </c>
      <c r="G12" s="18">
        <v>189</v>
      </c>
      <c r="H12" s="18">
        <v>1242.96</v>
      </c>
    </row>
    <row r="13" spans="1:8" x14ac:dyDescent="0.25">
      <c r="A13" s="16" t="s">
        <v>28</v>
      </c>
      <c r="B13" s="18">
        <v>2055.4899999999998</v>
      </c>
      <c r="C13" s="18">
        <v>2704.2799999999997</v>
      </c>
      <c r="D13" s="18">
        <v>3202.07</v>
      </c>
      <c r="E13" s="18">
        <v>2882.48</v>
      </c>
      <c r="F13" s="18">
        <v>3852.05</v>
      </c>
      <c r="G13" s="18">
        <v>2972.1499999999996</v>
      </c>
      <c r="H13" s="18">
        <v>17668.519999999997</v>
      </c>
    </row>
    <row r="14" spans="1:8" x14ac:dyDescent="0.25">
      <c r="A14" s="17" t="s">
        <v>27</v>
      </c>
      <c r="B14" s="18">
        <v>1255</v>
      </c>
      <c r="C14" s="18">
        <v>1721.25</v>
      </c>
      <c r="D14" s="18">
        <v>2137</v>
      </c>
      <c r="E14" s="18">
        <v>1893.62</v>
      </c>
      <c r="F14" s="18">
        <v>2655.25</v>
      </c>
      <c r="G14" s="18">
        <v>1909.71</v>
      </c>
      <c r="H14" s="18">
        <v>11571.829999999998</v>
      </c>
    </row>
    <row r="15" spans="1:8" x14ac:dyDescent="0.25">
      <c r="A15" s="17" t="s">
        <v>29</v>
      </c>
      <c r="B15" s="18">
        <v>800.4899999999999</v>
      </c>
      <c r="C15" s="18">
        <v>983.03</v>
      </c>
      <c r="D15" s="18">
        <v>1065.0700000000002</v>
      </c>
      <c r="E15" s="18">
        <v>988.86000000000013</v>
      </c>
      <c r="F15" s="18">
        <v>1196.8</v>
      </c>
      <c r="G15" s="18">
        <v>1062.4399999999998</v>
      </c>
      <c r="H15" s="18">
        <v>6096.69</v>
      </c>
    </row>
    <row r="16" spans="1:8" x14ac:dyDescent="0.25">
      <c r="A16" s="16" t="s">
        <v>66</v>
      </c>
      <c r="B16" s="18">
        <v>20238.32</v>
      </c>
      <c r="C16" s="18">
        <v>22752.35</v>
      </c>
      <c r="D16" s="18">
        <v>25234.950000000004</v>
      </c>
      <c r="E16" s="18">
        <v>19399.39</v>
      </c>
      <c r="F16" s="18">
        <v>22884.559999999998</v>
      </c>
      <c r="G16" s="18">
        <v>16547.37</v>
      </c>
      <c r="H16" s="18">
        <v>127056.94000000003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1"/>
  <sheetViews>
    <sheetView zoomScaleNormal="100" workbookViewId="0">
      <pane ySplit="1" topLeftCell="A2" activePane="bottomLeft" state="frozen"/>
      <selection pane="bottomLeft" activeCell="J9" sqref="J9"/>
    </sheetView>
  </sheetViews>
  <sheetFormatPr defaultColWidth="13.85546875" defaultRowHeight="15" x14ac:dyDescent="0.25"/>
  <sheetData>
    <row r="1" spans="1:8" x14ac:dyDescent="0.25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t="s">
        <v>17</v>
      </c>
    </row>
    <row r="2" spans="1:8" x14ac:dyDescent="0.25">
      <c r="A2" s="4">
        <v>41670</v>
      </c>
      <c r="B2" s="5">
        <f t="shared" ref="B2:B65" si="0">YEAR(A2)</f>
        <v>2014</v>
      </c>
      <c r="C2" s="5">
        <f t="shared" ref="C2:C65" si="1">MONTH(A2)</f>
        <v>1</v>
      </c>
      <c r="D2" s="5" t="s">
        <v>9</v>
      </c>
      <c r="E2" s="5" t="str">
        <f>VLOOKUP(D2,Lookup!$A$2:$C$9,2,FALSE())</f>
        <v>Anti-inflammatory (acetic acid)</v>
      </c>
      <c r="F2" s="6">
        <v>127.69</v>
      </c>
      <c r="G2" s="5" t="str">
        <f t="shared" ref="G2:G65" si="2">IF(A2=DATE(2019,10,31),"Yes","No")</f>
        <v>No</v>
      </c>
      <c r="H2" t="str">
        <f>INDEX(Lookup!$C$2:$C$9,MATCH(tblSales[[#This Row],[Category Code]],Lookup!$A$2:$A$9,0))</f>
        <v>Musculo-skeletal system</v>
      </c>
    </row>
    <row r="3" spans="1:8" x14ac:dyDescent="0.25">
      <c r="A3" s="4">
        <v>41670</v>
      </c>
      <c r="B3" s="5">
        <f t="shared" si="0"/>
        <v>2014</v>
      </c>
      <c r="C3" s="5">
        <f t="shared" si="1"/>
        <v>1</v>
      </c>
      <c r="D3" s="5" t="s">
        <v>10</v>
      </c>
      <c r="E3" s="5" t="str">
        <f>VLOOKUP(D3,Lookup!$A$2:$C$9,2,FALSE())</f>
        <v>Anti-inflammatory (propionic acid)</v>
      </c>
      <c r="F3" s="6">
        <v>99.09</v>
      </c>
      <c r="G3" s="5" t="str">
        <f t="shared" si="2"/>
        <v>No</v>
      </c>
      <c r="H3" t="str">
        <f>INDEX(Lookup!$C$2:$C$9,MATCH(tblSales[[#This Row],[Category Code]],Lookup!$A$2:$A$9,0))</f>
        <v>Musculo-skeletal system</v>
      </c>
    </row>
    <row r="4" spans="1:8" x14ac:dyDescent="0.25">
      <c r="A4" s="4">
        <v>41670</v>
      </c>
      <c r="B4" s="5">
        <f t="shared" si="0"/>
        <v>2014</v>
      </c>
      <c r="C4" s="5">
        <f t="shared" si="1"/>
        <v>1</v>
      </c>
      <c r="D4" s="5" t="s">
        <v>11</v>
      </c>
      <c r="E4" s="5" t="str">
        <f>VLOOKUP(D4,Lookup!$A$2:$C$9,2,FALSE())</f>
        <v>Analgesic (salicylic acid)</v>
      </c>
      <c r="F4" s="6">
        <v>152.1</v>
      </c>
      <c r="G4" s="5" t="str">
        <f t="shared" si="2"/>
        <v>No</v>
      </c>
      <c r="H4" t="str">
        <f>INDEX(Lookup!$C$2:$C$9,MATCH(tblSales[[#This Row],[Category Code]],Lookup!$A$2:$A$9,0))</f>
        <v>Nervous system</v>
      </c>
    </row>
    <row r="5" spans="1:8" x14ac:dyDescent="0.25">
      <c r="A5" s="4">
        <v>41670</v>
      </c>
      <c r="B5" s="5">
        <f t="shared" si="0"/>
        <v>2014</v>
      </c>
      <c r="C5" s="5">
        <f t="shared" si="1"/>
        <v>1</v>
      </c>
      <c r="D5" s="5" t="s">
        <v>12</v>
      </c>
      <c r="E5" s="5" t="str">
        <f>VLOOKUP(D5,Lookup!$A$2:$C$9,2,FALSE())</f>
        <v>Analgesic (paracetamol-type)</v>
      </c>
      <c r="F5" s="6">
        <v>878.03</v>
      </c>
      <c r="G5" s="5" t="str">
        <f t="shared" si="2"/>
        <v>No</v>
      </c>
      <c r="H5" t="str">
        <f>INDEX(Lookup!$C$2:$C$9,MATCH(tblSales[[#This Row],[Category Code]],Lookup!$A$2:$A$9,0))</f>
        <v>Nervous system</v>
      </c>
    </row>
    <row r="6" spans="1:8" x14ac:dyDescent="0.25">
      <c r="A6" s="4">
        <v>41670</v>
      </c>
      <c r="B6" s="5">
        <f t="shared" si="0"/>
        <v>2014</v>
      </c>
      <c r="C6" s="5">
        <f t="shared" si="1"/>
        <v>1</v>
      </c>
      <c r="D6" s="5" t="s">
        <v>13</v>
      </c>
      <c r="E6" s="5" t="str">
        <f>VLOOKUP(D6,Lookup!$A$2:$C$9,2,FALSE())</f>
        <v>Anxiolytics</v>
      </c>
      <c r="F6" s="6">
        <v>354</v>
      </c>
      <c r="G6" s="5" t="str">
        <f t="shared" si="2"/>
        <v>No</v>
      </c>
      <c r="H6" t="str">
        <f>INDEX(Lookup!$C$2:$C$9,MATCH(tblSales[[#This Row],[Category Code]],Lookup!$A$2:$A$9,0))</f>
        <v>Nervous system</v>
      </c>
    </row>
    <row r="7" spans="1:8" x14ac:dyDescent="0.25">
      <c r="A7" s="4">
        <v>41670</v>
      </c>
      <c r="B7" s="5">
        <f t="shared" si="0"/>
        <v>2014</v>
      </c>
      <c r="C7" s="5">
        <f t="shared" si="1"/>
        <v>1</v>
      </c>
      <c r="D7" s="5" t="s">
        <v>14</v>
      </c>
      <c r="E7" s="5" t="str">
        <f>VLOOKUP(D7,Lookup!$A$2:$C$9,2,FALSE())</f>
        <v>Hypnotics &amp; sedatives</v>
      </c>
      <c r="F7" s="6">
        <v>30</v>
      </c>
      <c r="G7" s="5" t="str">
        <f t="shared" si="2"/>
        <v>No</v>
      </c>
      <c r="H7" t="str">
        <f>INDEX(Lookup!$C$2:$C$9,MATCH(tblSales[[#This Row],[Category Code]],Lookup!$A$2:$A$9,0))</f>
        <v>Nervous system</v>
      </c>
    </row>
    <row r="8" spans="1:8" x14ac:dyDescent="0.25">
      <c r="A8" s="4">
        <v>41670</v>
      </c>
      <c r="B8" s="5">
        <f t="shared" si="0"/>
        <v>2014</v>
      </c>
      <c r="C8" s="5">
        <f t="shared" si="1"/>
        <v>1</v>
      </c>
      <c r="D8" s="5" t="s">
        <v>15</v>
      </c>
      <c r="E8" s="5" t="str">
        <f>VLOOKUP(D8,Lookup!$A$2:$C$9,2,FALSE())</f>
        <v>Airway disease drugs</v>
      </c>
      <c r="F8" s="6">
        <v>112</v>
      </c>
      <c r="G8" s="5" t="str">
        <f t="shared" si="2"/>
        <v>No</v>
      </c>
      <c r="H8" t="str">
        <f>INDEX(Lookup!$C$2:$C$9,MATCH(tblSales[[#This Row],[Category Code]],Lookup!$A$2:$A$9,0))</f>
        <v>Respiratory system</v>
      </c>
    </row>
    <row r="9" spans="1:8" x14ac:dyDescent="0.25">
      <c r="A9" s="4">
        <v>41670</v>
      </c>
      <c r="B9" s="5">
        <f t="shared" si="0"/>
        <v>2014</v>
      </c>
      <c r="C9" s="5">
        <f t="shared" si="1"/>
        <v>1</v>
      </c>
      <c r="D9" s="5" t="s">
        <v>16</v>
      </c>
      <c r="E9" s="5" t="str">
        <f>VLOOKUP(D9,Lookup!$A$2:$C$9,2,FALSE())</f>
        <v>Antihistamines</v>
      </c>
      <c r="F9" s="6">
        <v>48.2</v>
      </c>
      <c r="G9" s="5" t="str">
        <f t="shared" si="2"/>
        <v>No</v>
      </c>
      <c r="H9" t="str">
        <f>INDEX(Lookup!$C$2:$C$9,MATCH(tblSales[[#This Row],[Category Code]],Lookup!$A$2:$A$9,0))</f>
        <v>Respiratory system</v>
      </c>
    </row>
    <row r="10" spans="1:8" x14ac:dyDescent="0.25">
      <c r="A10" s="4">
        <v>41698</v>
      </c>
      <c r="B10" s="5">
        <f t="shared" si="0"/>
        <v>2014</v>
      </c>
      <c r="C10" s="5">
        <f t="shared" si="1"/>
        <v>2</v>
      </c>
      <c r="D10" s="5" t="s">
        <v>9</v>
      </c>
      <c r="E10" s="5" t="str">
        <f>VLOOKUP(D10,Lookup!$A$2:$C$9,2,FALSE())</f>
        <v>Anti-inflammatory (acetic acid)</v>
      </c>
      <c r="F10" s="6">
        <v>133.32</v>
      </c>
      <c r="G10" s="5" t="str">
        <f t="shared" si="2"/>
        <v>No</v>
      </c>
      <c r="H10" t="str">
        <f>INDEX(Lookup!$C$2:$C$9,MATCH(tblSales[[#This Row],[Category Code]],Lookup!$A$2:$A$9,0))</f>
        <v>Musculo-skeletal system</v>
      </c>
    </row>
    <row r="11" spans="1:8" x14ac:dyDescent="0.25">
      <c r="A11" s="4">
        <v>41698</v>
      </c>
      <c r="B11" s="5">
        <f t="shared" si="0"/>
        <v>2014</v>
      </c>
      <c r="C11" s="5">
        <f t="shared" si="1"/>
        <v>2</v>
      </c>
      <c r="D11" s="5" t="s">
        <v>10</v>
      </c>
      <c r="E11" s="5" t="str">
        <f>VLOOKUP(D11,Lookup!$A$2:$C$9,2,FALSE())</f>
        <v>Anti-inflammatory (propionic acid)</v>
      </c>
      <c r="F11" s="6">
        <v>126.05</v>
      </c>
      <c r="G11" s="5" t="str">
        <f t="shared" si="2"/>
        <v>No</v>
      </c>
      <c r="H11" t="str">
        <f>INDEX(Lookup!$C$2:$C$9,MATCH(tblSales[[#This Row],[Category Code]],Lookup!$A$2:$A$9,0))</f>
        <v>Musculo-skeletal system</v>
      </c>
    </row>
    <row r="12" spans="1:8" x14ac:dyDescent="0.25">
      <c r="A12" s="4">
        <v>41698</v>
      </c>
      <c r="B12" s="5">
        <f t="shared" si="0"/>
        <v>2014</v>
      </c>
      <c r="C12" s="5">
        <f t="shared" si="1"/>
        <v>2</v>
      </c>
      <c r="D12" s="5" t="s">
        <v>11</v>
      </c>
      <c r="E12" s="5" t="str">
        <f>VLOOKUP(D12,Lookup!$A$2:$C$9,2,FALSE())</f>
        <v>Analgesic (salicylic acid)</v>
      </c>
      <c r="F12" s="6">
        <v>177</v>
      </c>
      <c r="G12" s="5" t="str">
        <f t="shared" si="2"/>
        <v>No</v>
      </c>
      <c r="H12" t="str">
        <f>INDEX(Lookup!$C$2:$C$9,MATCH(tblSales[[#This Row],[Category Code]],Lookup!$A$2:$A$9,0))</f>
        <v>Nervous system</v>
      </c>
    </row>
    <row r="13" spans="1:8" x14ac:dyDescent="0.25">
      <c r="A13" s="4">
        <v>41698</v>
      </c>
      <c r="B13" s="5">
        <f t="shared" si="0"/>
        <v>2014</v>
      </c>
      <c r="C13" s="5">
        <f t="shared" si="1"/>
        <v>2</v>
      </c>
      <c r="D13" s="5" t="s">
        <v>12</v>
      </c>
      <c r="E13" s="5" t="str">
        <f>VLOOKUP(D13,Lookup!$A$2:$C$9,2,FALSE())</f>
        <v>Analgesic (paracetamol-type)</v>
      </c>
      <c r="F13" s="6">
        <v>1001.9</v>
      </c>
      <c r="G13" s="5" t="str">
        <f t="shared" si="2"/>
        <v>No</v>
      </c>
      <c r="H13" t="str">
        <f>INDEX(Lookup!$C$2:$C$9,MATCH(tblSales[[#This Row],[Category Code]],Lookup!$A$2:$A$9,0))</f>
        <v>Nervous system</v>
      </c>
    </row>
    <row r="14" spans="1:8" x14ac:dyDescent="0.25">
      <c r="A14" s="4">
        <v>41698</v>
      </c>
      <c r="B14" s="5">
        <f t="shared" si="0"/>
        <v>2014</v>
      </c>
      <c r="C14" s="5">
        <f t="shared" si="1"/>
        <v>2</v>
      </c>
      <c r="D14" s="5" t="s">
        <v>13</v>
      </c>
      <c r="E14" s="5" t="str">
        <f>VLOOKUP(D14,Lookup!$A$2:$C$9,2,FALSE())</f>
        <v>Anxiolytics</v>
      </c>
      <c r="F14" s="6">
        <v>347</v>
      </c>
      <c r="G14" s="5" t="str">
        <f t="shared" si="2"/>
        <v>No</v>
      </c>
      <c r="H14" t="str">
        <f>INDEX(Lookup!$C$2:$C$9,MATCH(tblSales[[#This Row],[Category Code]],Lookup!$A$2:$A$9,0))</f>
        <v>Nervous system</v>
      </c>
    </row>
    <row r="15" spans="1:8" x14ac:dyDescent="0.25">
      <c r="A15" s="4">
        <v>41698</v>
      </c>
      <c r="B15" s="5">
        <f t="shared" si="0"/>
        <v>2014</v>
      </c>
      <c r="C15" s="5">
        <f t="shared" si="1"/>
        <v>2</v>
      </c>
      <c r="D15" s="5" t="s">
        <v>14</v>
      </c>
      <c r="E15" s="5" t="str">
        <f>VLOOKUP(D15,Lookup!$A$2:$C$9,2,FALSE())</f>
        <v>Hypnotics &amp; sedatives</v>
      </c>
      <c r="F15" s="6">
        <v>31</v>
      </c>
      <c r="G15" s="5" t="str">
        <f t="shared" si="2"/>
        <v>No</v>
      </c>
      <c r="H15" t="str">
        <f>INDEX(Lookup!$C$2:$C$9,MATCH(tblSales[[#This Row],[Category Code]],Lookup!$A$2:$A$9,0))</f>
        <v>Nervous system</v>
      </c>
    </row>
    <row r="16" spans="1:8" x14ac:dyDescent="0.25">
      <c r="A16" s="4">
        <v>41698</v>
      </c>
      <c r="B16" s="5">
        <f t="shared" si="0"/>
        <v>2014</v>
      </c>
      <c r="C16" s="5">
        <f t="shared" si="1"/>
        <v>2</v>
      </c>
      <c r="D16" s="5" t="s">
        <v>15</v>
      </c>
      <c r="E16" s="5" t="str">
        <f>VLOOKUP(D16,Lookup!$A$2:$C$9,2,FALSE())</f>
        <v>Airway disease drugs</v>
      </c>
      <c r="F16" s="6">
        <v>122</v>
      </c>
      <c r="G16" s="5" t="str">
        <f t="shared" si="2"/>
        <v>No</v>
      </c>
      <c r="H16" t="str">
        <f>INDEX(Lookup!$C$2:$C$9,MATCH(tblSales[[#This Row],[Category Code]],Lookup!$A$2:$A$9,0))</f>
        <v>Respiratory system</v>
      </c>
    </row>
    <row r="17" spans="1:8" x14ac:dyDescent="0.25">
      <c r="A17" s="4">
        <v>41698</v>
      </c>
      <c r="B17" s="5">
        <f t="shared" si="0"/>
        <v>2014</v>
      </c>
      <c r="C17" s="5">
        <f t="shared" si="1"/>
        <v>2</v>
      </c>
      <c r="D17" s="5" t="s">
        <v>16</v>
      </c>
      <c r="E17" s="5" t="str">
        <f>VLOOKUP(D17,Lookup!$A$2:$C$9,2,FALSE())</f>
        <v>Antihistamines</v>
      </c>
      <c r="F17" s="6">
        <v>36.200000000000003</v>
      </c>
      <c r="G17" s="5" t="str">
        <f t="shared" si="2"/>
        <v>No</v>
      </c>
      <c r="H17" t="str">
        <f>INDEX(Lookup!$C$2:$C$9,MATCH(tblSales[[#This Row],[Category Code]],Lookup!$A$2:$A$9,0))</f>
        <v>Respiratory system</v>
      </c>
    </row>
    <row r="18" spans="1:8" x14ac:dyDescent="0.25">
      <c r="A18" s="4">
        <v>41729</v>
      </c>
      <c r="B18" s="5">
        <f t="shared" si="0"/>
        <v>2014</v>
      </c>
      <c r="C18" s="5">
        <f t="shared" si="1"/>
        <v>3</v>
      </c>
      <c r="D18" s="5" t="s">
        <v>9</v>
      </c>
      <c r="E18" s="5" t="str">
        <f>VLOOKUP(D18,Lookup!$A$2:$C$9,2,FALSE())</f>
        <v>Anti-inflammatory (acetic acid)</v>
      </c>
      <c r="F18" s="6">
        <v>137.44</v>
      </c>
      <c r="G18" s="5" t="str">
        <f t="shared" si="2"/>
        <v>No</v>
      </c>
      <c r="H18" t="str">
        <f>INDEX(Lookup!$C$2:$C$9,MATCH(tblSales[[#This Row],[Category Code]],Lookup!$A$2:$A$9,0))</f>
        <v>Musculo-skeletal system</v>
      </c>
    </row>
    <row r="19" spans="1:8" x14ac:dyDescent="0.25">
      <c r="A19" s="4">
        <v>41729</v>
      </c>
      <c r="B19" s="5">
        <f t="shared" si="0"/>
        <v>2014</v>
      </c>
      <c r="C19" s="5">
        <f t="shared" si="1"/>
        <v>3</v>
      </c>
      <c r="D19" s="5" t="s">
        <v>10</v>
      </c>
      <c r="E19" s="5" t="str">
        <f>VLOOKUP(D19,Lookup!$A$2:$C$9,2,FALSE())</f>
        <v>Anti-inflammatory (propionic acid)</v>
      </c>
      <c r="F19" s="6">
        <v>92.95</v>
      </c>
      <c r="G19" s="5" t="str">
        <f t="shared" si="2"/>
        <v>No</v>
      </c>
      <c r="H19" t="str">
        <f>INDEX(Lookup!$C$2:$C$9,MATCH(tblSales[[#This Row],[Category Code]],Lookup!$A$2:$A$9,0))</f>
        <v>Musculo-skeletal system</v>
      </c>
    </row>
    <row r="20" spans="1:8" x14ac:dyDescent="0.25">
      <c r="A20" s="4">
        <v>41729</v>
      </c>
      <c r="B20" s="5">
        <f t="shared" si="0"/>
        <v>2014</v>
      </c>
      <c r="C20" s="5">
        <f t="shared" si="1"/>
        <v>3</v>
      </c>
      <c r="D20" s="5" t="s">
        <v>11</v>
      </c>
      <c r="E20" s="5" t="str">
        <f>VLOOKUP(D20,Lookup!$A$2:$C$9,2,FALSE())</f>
        <v>Analgesic (salicylic acid)</v>
      </c>
      <c r="F20" s="6">
        <v>147.66</v>
      </c>
      <c r="G20" s="5" t="str">
        <f t="shared" si="2"/>
        <v>No</v>
      </c>
      <c r="H20" t="str">
        <f>INDEX(Lookup!$C$2:$C$9,MATCH(tblSales[[#This Row],[Category Code]],Lookup!$A$2:$A$9,0))</f>
        <v>Nervous system</v>
      </c>
    </row>
    <row r="21" spans="1:8" x14ac:dyDescent="0.25">
      <c r="A21" s="4">
        <v>41729</v>
      </c>
      <c r="B21" s="5">
        <f t="shared" si="0"/>
        <v>2014</v>
      </c>
      <c r="C21" s="5">
        <f t="shared" si="1"/>
        <v>3</v>
      </c>
      <c r="D21" s="5" t="s">
        <v>12</v>
      </c>
      <c r="E21" s="5" t="str">
        <f>VLOOKUP(D21,Lookup!$A$2:$C$9,2,FALSE())</f>
        <v>Analgesic (paracetamol-type)</v>
      </c>
      <c r="F21" s="6">
        <v>779.27</v>
      </c>
      <c r="G21" s="5" t="str">
        <f t="shared" si="2"/>
        <v>No</v>
      </c>
      <c r="H21" t="str">
        <f>INDEX(Lookup!$C$2:$C$9,MATCH(tblSales[[#This Row],[Category Code]],Lookup!$A$2:$A$9,0))</f>
        <v>Nervous system</v>
      </c>
    </row>
    <row r="22" spans="1:8" x14ac:dyDescent="0.25">
      <c r="A22" s="4">
        <v>41729</v>
      </c>
      <c r="B22" s="5">
        <f t="shared" si="0"/>
        <v>2014</v>
      </c>
      <c r="C22" s="5">
        <f t="shared" si="1"/>
        <v>3</v>
      </c>
      <c r="D22" s="5" t="s">
        <v>13</v>
      </c>
      <c r="E22" s="5" t="str">
        <f>VLOOKUP(D22,Lookup!$A$2:$C$9,2,FALSE())</f>
        <v>Anxiolytics</v>
      </c>
      <c r="F22" s="6">
        <v>232</v>
      </c>
      <c r="G22" s="5" t="str">
        <f t="shared" si="2"/>
        <v>No</v>
      </c>
      <c r="H22" t="str">
        <f>INDEX(Lookup!$C$2:$C$9,MATCH(tblSales[[#This Row],[Category Code]],Lookup!$A$2:$A$9,0))</f>
        <v>Nervous system</v>
      </c>
    </row>
    <row r="23" spans="1:8" x14ac:dyDescent="0.25">
      <c r="A23" s="4">
        <v>41729</v>
      </c>
      <c r="B23" s="5">
        <f t="shared" si="0"/>
        <v>2014</v>
      </c>
      <c r="C23" s="5">
        <f t="shared" si="1"/>
        <v>3</v>
      </c>
      <c r="D23" s="5" t="s">
        <v>14</v>
      </c>
      <c r="E23" s="5" t="str">
        <f>VLOOKUP(D23,Lookup!$A$2:$C$9,2,FALSE())</f>
        <v>Hypnotics &amp; sedatives</v>
      </c>
      <c r="F23" s="6">
        <v>20</v>
      </c>
      <c r="G23" s="5" t="str">
        <f t="shared" si="2"/>
        <v>No</v>
      </c>
      <c r="H23" t="str">
        <f>INDEX(Lookup!$C$2:$C$9,MATCH(tblSales[[#This Row],[Category Code]],Lookup!$A$2:$A$9,0))</f>
        <v>Nervous system</v>
      </c>
    </row>
    <row r="24" spans="1:8" x14ac:dyDescent="0.25">
      <c r="A24" s="4">
        <v>41729</v>
      </c>
      <c r="B24" s="5">
        <f t="shared" si="0"/>
        <v>2014</v>
      </c>
      <c r="C24" s="5">
        <f t="shared" si="1"/>
        <v>3</v>
      </c>
      <c r="D24" s="5" t="s">
        <v>15</v>
      </c>
      <c r="E24" s="5" t="str">
        <f>VLOOKUP(D24,Lookup!$A$2:$C$9,2,FALSE())</f>
        <v>Airway disease drugs</v>
      </c>
      <c r="F24" s="6">
        <v>112</v>
      </c>
      <c r="G24" s="5" t="str">
        <f t="shared" si="2"/>
        <v>No</v>
      </c>
      <c r="H24" t="str">
        <f>INDEX(Lookup!$C$2:$C$9,MATCH(tblSales[[#This Row],[Category Code]],Lookup!$A$2:$A$9,0))</f>
        <v>Respiratory system</v>
      </c>
    </row>
    <row r="25" spans="1:8" x14ac:dyDescent="0.25">
      <c r="A25" s="4">
        <v>41729</v>
      </c>
      <c r="B25" s="5">
        <f t="shared" si="0"/>
        <v>2014</v>
      </c>
      <c r="C25" s="5">
        <f t="shared" si="1"/>
        <v>3</v>
      </c>
      <c r="D25" s="5" t="s">
        <v>16</v>
      </c>
      <c r="E25" s="5" t="str">
        <f>VLOOKUP(D25,Lookup!$A$2:$C$9,2,FALSE())</f>
        <v>Antihistamines</v>
      </c>
      <c r="F25" s="6">
        <v>85.4</v>
      </c>
      <c r="G25" s="5" t="str">
        <f t="shared" si="2"/>
        <v>No</v>
      </c>
      <c r="H25" t="str">
        <f>INDEX(Lookup!$C$2:$C$9,MATCH(tblSales[[#This Row],[Category Code]],Lookup!$A$2:$A$9,0))</f>
        <v>Respiratory system</v>
      </c>
    </row>
    <row r="26" spans="1:8" x14ac:dyDescent="0.25">
      <c r="A26" s="4">
        <v>41759</v>
      </c>
      <c r="B26" s="5">
        <f t="shared" si="0"/>
        <v>2014</v>
      </c>
      <c r="C26" s="5">
        <f t="shared" si="1"/>
        <v>4</v>
      </c>
      <c r="D26" s="5" t="s">
        <v>9</v>
      </c>
      <c r="E26" s="5" t="str">
        <f>VLOOKUP(D26,Lookup!$A$2:$C$9,2,FALSE())</f>
        <v>Anti-inflammatory (acetic acid)</v>
      </c>
      <c r="F26" s="6">
        <v>113.1</v>
      </c>
      <c r="G26" s="5" t="str">
        <f t="shared" si="2"/>
        <v>No</v>
      </c>
      <c r="H26" t="str">
        <f>INDEX(Lookup!$C$2:$C$9,MATCH(tblSales[[#This Row],[Category Code]],Lookup!$A$2:$A$9,0))</f>
        <v>Musculo-skeletal system</v>
      </c>
    </row>
    <row r="27" spans="1:8" x14ac:dyDescent="0.25">
      <c r="A27" s="4">
        <v>41759</v>
      </c>
      <c r="B27" s="5">
        <f t="shared" si="0"/>
        <v>2014</v>
      </c>
      <c r="C27" s="5">
        <f t="shared" si="1"/>
        <v>4</v>
      </c>
      <c r="D27" s="5" t="s">
        <v>10</v>
      </c>
      <c r="E27" s="5" t="str">
        <f>VLOOKUP(D27,Lookup!$A$2:$C$9,2,FALSE())</f>
        <v>Anti-inflammatory (propionic acid)</v>
      </c>
      <c r="F27" s="6">
        <v>89.47</v>
      </c>
      <c r="G27" s="5" t="str">
        <f t="shared" si="2"/>
        <v>No</v>
      </c>
      <c r="H27" t="str">
        <f>INDEX(Lookup!$C$2:$C$9,MATCH(tblSales[[#This Row],[Category Code]],Lookup!$A$2:$A$9,0))</f>
        <v>Musculo-skeletal system</v>
      </c>
    </row>
    <row r="28" spans="1:8" x14ac:dyDescent="0.25">
      <c r="A28" s="4">
        <v>41759</v>
      </c>
      <c r="B28" s="5">
        <f t="shared" si="0"/>
        <v>2014</v>
      </c>
      <c r="C28" s="5">
        <f t="shared" si="1"/>
        <v>4</v>
      </c>
      <c r="D28" s="5" t="s">
        <v>11</v>
      </c>
      <c r="E28" s="5" t="str">
        <f>VLOOKUP(D28,Lookup!$A$2:$C$9,2,FALSE())</f>
        <v>Analgesic (salicylic acid)</v>
      </c>
      <c r="F28" s="6">
        <v>125.15</v>
      </c>
      <c r="G28" s="5" t="str">
        <f t="shared" si="2"/>
        <v>No</v>
      </c>
      <c r="H28" t="str">
        <f>INDEX(Lookup!$C$2:$C$9,MATCH(tblSales[[#This Row],[Category Code]],Lookup!$A$2:$A$9,0))</f>
        <v>Nervous system</v>
      </c>
    </row>
    <row r="29" spans="1:8" x14ac:dyDescent="0.25">
      <c r="A29" s="4">
        <v>41759</v>
      </c>
      <c r="B29" s="5">
        <f t="shared" si="0"/>
        <v>2014</v>
      </c>
      <c r="C29" s="5">
        <f t="shared" si="1"/>
        <v>4</v>
      </c>
      <c r="D29" s="5" t="s">
        <v>12</v>
      </c>
      <c r="E29" s="5" t="str">
        <f>VLOOKUP(D29,Lookup!$A$2:$C$9,2,FALSE())</f>
        <v>Analgesic (paracetamol-type)</v>
      </c>
      <c r="F29" s="6">
        <v>698.5</v>
      </c>
      <c r="G29" s="5" t="str">
        <f t="shared" si="2"/>
        <v>No</v>
      </c>
      <c r="H29" t="str">
        <f>INDEX(Lookup!$C$2:$C$9,MATCH(tblSales[[#This Row],[Category Code]],Lookup!$A$2:$A$9,0))</f>
        <v>Nervous system</v>
      </c>
    </row>
    <row r="30" spans="1:8" x14ac:dyDescent="0.25">
      <c r="A30" s="4">
        <v>41759</v>
      </c>
      <c r="B30" s="5">
        <f t="shared" si="0"/>
        <v>2014</v>
      </c>
      <c r="C30" s="5">
        <f t="shared" si="1"/>
        <v>4</v>
      </c>
      <c r="D30" s="5" t="s">
        <v>13</v>
      </c>
      <c r="E30" s="5" t="str">
        <f>VLOOKUP(D30,Lookup!$A$2:$C$9,2,FALSE())</f>
        <v>Anxiolytics</v>
      </c>
      <c r="F30" s="6">
        <v>209</v>
      </c>
      <c r="G30" s="5" t="str">
        <f t="shared" si="2"/>
        <v>No</v>
      </c>
      <c r="H30" t="str">
        <f>INDEX(Lookup!$C$2:$C$9,MATCH(tblSales[[#This Row],[Category Code]],Lookup!$A$2:$A$9,0))</f>
        <v>Nervous system</v>
      </c>
    </row>
    <row r="31" spans="1:8" x14ac:dyDescent="0.25">
      <c r="A31" s="4">
        <v>41759</v>
      </c>
      <c r="B31" s="5">
        <f t="shared" si="0"/>
        <v>2014</v>
      </c>
      <c r="C31" s="5">
        <f t="shared" si="1"/>
        <v>4</v>
      </c>
      <c r="D31" s="5" t="s">
        <v>14</v>
      </c>
      <c r="E31" s="5" t="str">
        <f>VLOOKUP(D31,Lookup!$A$2:$C$9,2,FALSE())</f>
        <v>Hypnotics &amp; sedatives</v>
      </c>
      <c r="F31" s="6">
        <v>18</v>
      </c>
      <c r="G31" s="5" t="str">
        <f t="shared" si="2"/>
        <v>No</v>
      </c>
      <c r="H31" t="str">
        <f>INDEX(Lookup!$C$2:$C$9,MATCH(tblSales[[#This Row],[Category Code]],Lookup!$A$2:$A$9,0))</f>
        <v>Nervous system</v>
      </c>
    </row>
    <row r="32" spans="1:8" x14ac:dyDescent="0.25">
      <c r="A32" s="4">
        <v>41759</v>
      </c>
      <c r="B32" s="5">
        <f t="shared" si="0"/>
        <v>2014</v>
      </c>
      <c r="C32" s="5">
        <f t="shared" si="1"/>
        <v>4</v>
      </c>
      <c r="D32" s="5" t="s">
        <v>15</v>
      </c>
      <c r="E32" s="5" t="str">
        <f>VLOOKUP(D32,Lookup!$A$2:$C$9,2,FALSE())</f>
        <v>Airway disease drugs</v>
      </c>
      <c r="F32" s="6">
        <v>97</v>
      </c>
      <c r="G32" s="5" t="str">
        <f t="shared" si="2"/>
        <v>No</v>
      </c>
      <c r="H32" t="str">
        <f>INDEX(Lookup!$C$2:$C$9,MATCH(tblSales[[#This Row],[Category Code]],Lookup!$A$2:$A$9,0))</f>
        <v>Respiratory system</v>
      </c>
    </row>
    <row r="33" spans="1:8" x14ac:dyDescent="0.25">
      <c r="A33" s="4">
        <v>41759</v>
      </c>
      <c r="B33" s="5">
        <f t="shared" si="0"/>
        <v>2014</v>
      </c>
      <c r="C33" s="5">
        <f t="shared" si="1"/>
        <v>4</v>
      </c>
      <c r="D33" s="5" t="s">
        <v>16</v>
      </c>
      <c r="E33" s="5" t="str">
        <f>VLOOKUP(D33,Lookup!$A$2:$C$9,2,FALSE())</f>
        <v>Antihistamines</v>
      </c>
      <c r="F33" s="6">
        <v>73.7</v>
      </c>
      <c r="G33" s="5" t="str">
        <f t="shared" si="2"/>
        <v>No</v>
      </c>
      <c r="H33" t="str">
        <f>INDEX(Lookup!$C$2:$C$9,MATCH(tblSales[[#This Row],[Category Code]],Lookup!$A$2:$A$9,0))</f>
        <v>Respiratory system</v>
      </c>
    </row>
    <row r="34" spans="1:8" x14ac:dyDescent="0.25">
      <c r="A34" s="4">
        <v>41790</v>
      </c>
      <c r="B34" s="5">
        <f t="shared" si="0"/>
        <v>2014</v>
      </c>
      <c r="C34" s="5">
        <f t="shared" si="1"/>
        <v>5</v>
      </c>
      <c r="D34" s="5" t="s">
        <v>9</v>
      </c>
      <c r="E34" s="5" t="str">
        <f>VLOOKUP(D34,Lookup!$A$2:$C$9,2,FALSE())</f>
        <v>Anti-inflammatory (acetic acid)</v>
      </c>
      <c r="F34" s="6">
        <v>101.79</v>
      </c>
      <c r="G34" s="5" t="str">
        <f t="shared" si="2"/>
        <v>No</v>
      </c>
      <c r="H34" t="str">
        <f>INDEX(Lookup!$C$2:$C$9,MATCH(tblSales[[#This Row],[Category Code]],Lookup!$A$2:$A$9,0))</f>
        <v>Musculo-skeletal system</v>
      </c>
    </row>
    <row r="35" spans="1:8" x14ac:dyDescent="0.25">
      <c r="A35" s="4">
        <v>41790</v>
      </c>
      <c r="B35" s="5">
        <f t="shared" si="0"/>
        <v>2014</v>
      </c>
      <c r="C35" s="5">
        <f t="shared" si="1"/>
        <v>5</v>
      </c>
      <c r="D35" s="5" t="s">
        <v>10</v>
      </c>
      <c r="E35" s="5" t="str">
        <f>VLOOKUP(D35,Lookup!$A$2:$C$9,2,FALSE())</f>
        <v>Anti-inflammatory (propionic acid)</v>
      </c>
      <c r="F35" s="6">
        <v>119.93</v>
      </c>
      <c r="G35" s="5" t="str">
        <f t="shared" si="2"/>
        <v>No</v>
      </c>
      <c r="H35" t="str">
        <f>INDEX(Lookup!$C$2:$C$9,MATCH(tblSales[[#This Row],[Category Code]],Lookup!$A$2:$A$9,0))</f>
        <v>Musculo-skeletal system</v>
      </c>
    </row>
    <row r="36" spans="1:8" x14ac:dyDescent="0.25">
      <c r="A36" s="4">
        <v>41790</v>
      </c>
      <c r="B36" s="5">
        <f t="shared" si="0"/>
        <v>2014</v>
      </c>
      <c r="C36" s="5">
        <f t="shared" si="1"/>
        <v>5</v>
      </c>
      <c r="D36" s="5" t="s">
        <v>11</v>
      </c>
      <c r="E36" s="5" t="str">
        <f>VLOOKUP(D36,Lookup!$A$2:$C$9,2,FALSE())</f>
        <v>Analgesic (salicylic acid)</v>
      </c>
      <c r="F36" s="6">
        <v>132.1</v>
      </c>
      <c r="G36" s="5" t="str">
        <f t="shared" si="2"/>
        <v>No</v>
      </c>
      <c r="H36" t="str">
        <f>INDEX(Lookup!$C$2:$C$9,MATCH(tblSales[[#This Row],[Category Code]],Lookup!$A$2:$A$9,0))</f>
        <v>Nervous system</v>
      </c>
    </row>
    <row r="37" spans="1:8" x14ac:dyDescent="0.25">
      <c r="A37" s="4">
        <v>41790</v>
      </c>
      <c r="B37" s="5">
        <f t="shared" si="0"/>
        <v>2014</v>
      </c>
      <c r="C37" s="5">
        <f t="shared" si="1"/>
        <v>5</v>
      </c>
      <c r="D37" s="5" t="s">
        <v>12</v>
      </c>
      <c r="E37" s="5" t="str">
        <f>VLOOKUP(D37,Lookup!$A$2:$C$9,2,FALSE())</f>
        <v>Analgesic (paracetamol-type)</v>
      </c>
      <c r="F37" s="6">
        <v>628.78</v>
      </c>
      <c r="G37" s="5" t="str">
        <f t="shared" si="2"/>
        <v>No</v>
      </c>
      <c r="H37" t="str">
        <f>INDEX(Lookup!$C$2:$C$9,MATCH(tblSales[[#This Row],[Category Code]],Lookup!$A$2:$A$9,0))</f>
        <v>Nervous system</v>
      </c>
    </row>
    <row r="38" spans="1:8" x14ac:dyDescent="0.25">
      <c r="A38" s="4">
        <v>41790</v>
      </c>
      <c r="B38" s="5">
        <f t="shared" si="0"/>
        <v>2014</v>
      </c>
      <c r="C38" s="5">
        <f t="shared" si="1"/>
        <v>5</v>
      </c>
      <c r="D38" s="5" t="s">
        <v>13</v>
      </c>
      <c r="E38" s="5" t="str">
        <f>VLOOKUP(D38,Lookup!$A$2:$C$9,2,FALSE())</f>
        <v>Anxiolytics</v>
      </c>
      <c r="F38" s="6">
        <v>270</v>
      </c>
      <c r="G38" s="5" t="str">
        <f t="shared" si="2"/>
        <v>No</v>
      </c>
      <c r="H38" t="str">
        <f>INDEX(Lookup!$C$2:$C$9,MATCH(tblSales[[#This Row],[Category Code]],Lookup!$A$2:$A$9,0))</f>
        <v>Nervous system</v>
      </c>
    </row>
    <row r="39" spans="1:8" x14ac:dyDescent="0.25">
      <c r="A39" s="4">
        <v>41790</v>
      </c>
      <c r="B39" s="5">
        <f t="shared" si="0"/>
        <v>2014</v>
      </c>
      <c r="C39" s="5">
        <f t="shared" si="1"/>
        <v>5</v>
      </c>
      <c r="D39" s="5" t="s">
        <v>14</v>
      </c>
      <c r="E39" s="5" t="str">
        <f>VLOOKUP(D39,Lookup!$A$2:$C$9,2,FALSE())</f>
        <v>Hypnotics &amp; sedatives</v>
      </c>
      <c r="F39" s="6">
        <v>23</v>
      </c>
      <c r="G39" s="5" t="str">
        <f t="shared" si="2"/>
        <v>No</v>
      </c>
      <c r="H39" t="str">
        <f>INDEX(Lookup!$C$2:$C$9,MATCH(tblSales[[#This Row],[Category Code]],Lookup!$A$2:$A$9,0))</f>
        <v>Nervous system</v>
      </c>
    </row>
    <row r="40" spans="1:8" x14ac:dyDescent="0.25">
      <c r="A40" s="4">
        <v>41790</v>
      </c>
      <c r="B40" s="5">
        <f t="shared" si="0"/>
        <v>2014</v>
      </c>
      <c r="C40" s="5">
        <f t="shared" si="1"/>
        <v>5</v>
      </c>
      <c r="D40" s="5" t="s">
        <v>15</v>
      </c>
      <c r="E40" s="5" t="str">
        <f>VLOOKUP(D40,Lookup!$A$2:$C$9,2,FALSE())</f>
        <v>Airway disease drugs</v>
      </c>
      <c r="F40" s="6">
        <v>107</v>
      </c>
      <c r="G40" s="5" t="str">
        <f t="shared" si="2"/>
        <v>No</v>
      </c>
      <c r="H40" t="str">
        <f>INDEX(Lookup!$C$2:$C$9,MATCH(tblSales[[#This Row],[Category Code]],Lookup!$A$2:$A$9,0))</f>
        <v>Respiratory system</v>
      </c>
    </row>
    <row r="41" spans="1:8" x14ac:dyDescent="0.25">
      <c r="A41" s="4">
        <v>41790</v>
      </c>
      <c r="B41" s="5">
        <f t="shared" si="0"/>
        <v>2014</v>
      </c>
      <c r="C41" s="5">
        <f t="shared" si="1"/>
        <v>5</v>
      </c>
      <c r="D41" s="5" t="s">
        <v>16</v>
      </c>
      <c r="E41" s="5" t="str">
        <f>VLOOKUP(D41,Lookup!$A$2:$C$9,2,FALSE())</f>
        <v>Antihistamines</v>
      </c>
      <c r="F41" s="6">
        <v>123.7</v>
      </c>
      <c r="G41" s="5" t="str">
        <f t="shared" si="2"/>
        <v>No</v>
      </c>
      <c r="H41" t="str">
        <f>INDEX(Lookup!$C$2:$C$9,MATCH(tblSales[[#This Row],[Category Code]],Lookup!$A$2:$A$9,0))</f>
        <v>Respiratory system</v>
      </c>
    </row>
    <row r="42" spans="1:8" x14ac:dyDescent="0.25">
      <c r="A42" s="4">
        <v>41820</v>
      </c>
      <c r="B42" s="5">
        <f t="shared" si="0"/>
        <v>2014</v>
      </c>
      <c r="C42" s="5">
        <f t="shared" si="1"/>
        <v>6</v>
      </c>
      <c r="D42" s="5" t="s">
        <v>9</v>
      </c>
      <c r="E42" s="5" t="str">
        <f>VLOOKUP(D42,Lookup!$A$2:$C$9,2,FALSE())</f>
        <v>Anti-inflammatory (acetic acid)</v>
      </c>
      <c r="F42" s="6">
        <v>112.07</v>
      </c>
      <c r="G42" s="5" t="str">
        <f t="shared" si="2"/>
        <v>No</v>
      </c>
      <c r="H42" t="str">
        <f>INDEX(Lookup!$C$2:$C$9,MATCH(tblSales[[#This Row],[Category Code]],Lookup!$A$2:$A$9,0))</f>
        <v>Musculo-skeletal system</v>
      </c>
    </row>
    <row r="43" spans="1:8" x14ac:dyDescent="0.25">
      <c r="A43" s="4">
        <v>41820</v>
      </c>
      <c r="B43" s="5">
        <f t="shared" si="0"/>
        <v>2014</v>
      </c>
      <c r="C43" s="5">
        <f t="shared" si="1"/>
        <v>6</v>
      </c>
      <c r="D43" s="5" t="s">
        <v>10</v>
      </c>
      <c r="E43" s="5" t="str">
        <f>VLOOKUP(D43,Lookup!$A$2:$C$9,2,FALSE())</f>
        <v>Anti-inflammatory (propionic acid)</v>
      </c>
      <c r="F43" s="6">
        <v>94.71</v>
      </c>
      <c r="G43" s="5" t="str">
        <f t="shared" si="2"/>
        <v>No</v>
      </c>
      <c r="H43" t="str">
        <f>INDEX(Lookup!$C$2:$C$9,MATCH(tblSales[[#This Row],[Category Code]],Lookup!$A$2:$A$9,0))</f>
        <v>Musculo-skeletal system</v>
      </c>
    </row>
    <row r="44" spans="1:8" x14ac:dyDescent="0.25">
      <c r="A44" s="4">
        <v>41820</v>
      </c>
      <c r="B44" s="5">
        <f t="shared" si="0"/>
        <v>2014</v>
      </c>
      <c r="C44" s="5">
        <f t="shared" si="1"/>
        <v>6</v>
      </c>
      <c r="D44" s="5" t="s">
        <v>11</v>
      </c>
      <c r="E44" s="5" t="str">
        <f>VLOOKUP(D44,Lookup!$A$2:$C$9,2,FALSE())</f>
        <v>Analgesic (salicylic acid)</v>
      </c>
      <c r="F44" s="6">
        <v>122.9</v>
      </c>
      <c r="G44" s="5" t="str">
        <f t="shared" si="2"/>
        <v>No</v>
      </c>
      <c r="H44" t="str">
        <f>INDEX(Lookup!$C$2:$C$9,MATCH(tblSales[[#This Row],[Category Code]],Lookup!$A$2:$A$9,0))</f>
        <v>Nervous system</v>
      </c>
    </row>
    <row r="45" spans="1:8" x14ac:dyDescent="0.25">
      <c r="A45" s="4">
        <v>41820</v>
      </c>
      <c r="B45" s="5">
        <f t="shared" si="0"/>
        <v>2014</v>
      </c>
      <c r="C45" s="5">
        <f t="shared" si="1"/>
        <v>6</v>
      </c>
      <c r="D45" s="5" t="s">
        <v>12</v>
      </c>
      <c r="E45" s="5" t="str">
        <f>VLOOKUP(D45,Lookup!$A$2:$C$9,2,FALSE())</f>
        <v>Analgesic (paracetamol-type)</v>
      </c>
      <c r="F45" s="6">
        <v>548.23</v>
      </c>
      <c r="G45" s="5" t="str">
        <f t="shared" si="2"/>
        <v>No</v>
      </c>
      <c r="H45" t="str">
        <f>INDEX(Lookup!$C$2:$C$9,MATCH(tblSales[[#This Row],[Category Code]],Lookup!$A$2:$A$9,0))</f>
        <v>Nervous system</v>
      </c>
    </row>
    <row r="46" spans="1:8" x14ac:dyDescent="0.25">
      <c r="A46" s="4">
        <v>41820</v>
      </c>
      <c r="B46" s="5">
        <f t="shared" si="0"/>
        <v>2014</v>
      </c>
      <c r="C46" s="5">
        <f t="shared" si="1"/>
        <v>6</v>
      </c>
      <c r="D46" s="5" t="s">
        <v>13</v>
      </c>
      <c r="E46" s="5" t="str">
        <f>VLOOKUP(D46,Lookup!$A$2:$C$9,2,FALSE())</f>
        <v>Anxiolytics</v>
      </c>
      <c r="F46" s="6">
        <v>323</v>
      </c>
      <c r="G46" s="5" t="str">
        <f t="shared" si="2"/>
        <v>No</v>
      </c>
      <c r="H46" t="str">
        <f>INDEX(Lookup!$C$2:$C$9,MATCH(tblSales[[#This Row],[Category Code]],Lookup!$A$2:$A$9,0))</f>
        <v>Nervous system</v>
      </c>
    </row>
    <row r="47" spans="1:8" x14ac:dyDescent="0.25">
      <c r="A47" s="4">
        <v>41820</v>
      </c>
      <c r="B47" s="5">
        <f t="shared" si="0"/>
        <v>2014</v>
      </c>
      <c r="C47" s="5">
        <f t="shared" si="1"/>
        <v>6</v>
      </c>
      <c r="D47" s="5" t="s">
        <v>14</v>
      </c>
      <c r="E47" s="5" t="str">
        <f>VLOOKUP(D47,Lookup!$A$2:$C$9,2,FALSE())</f>
        <v>Hypnotics &amp; sedatives</v>
      </c>
      <c r="F47" s="6">
        <v>23</v>
      </c>
      <c r="G47" s="5" t="str">
        <f t="shared" si="2"/>
        <v>No</v>
      </c>
      <c r="H47" t="str">
        <f>INDEX(Lookup!$C$2:$C$9,MATCH(tblSales[[#This Row],[Category Code]],Lookup!$A$2:$A$9,0))</f>
        <v>Nervous system</v>
      </c>
    </row>
    <row r="48" spans="1:8" x14ac:dyDescent="0.25">
      <c r="A48" s="4">
        <v>41820</v>
      </c>
      <c r="B48" s="5">
        <f t="shared" si="0"/>
        <v>2014</v>
      </c>
      <c r="C48" s="5">
        <f t="shared" si="1"/>
        <v>6</v>
      </c>
      <c r="D48" s="5" t="s">
        <v>15</v>
      </c>
      <c r="E48" s="5" t="str">
        <f>VLOOKUP(D48,Lookup!$A$2:$C$9,2,FALSE())</f>
        <v>Airway disease drugs</v>
      </c>
      <c r="F48" s="6">
        <v>57</v>
      </c>
      <c r="G48" s="5" t="str">
        <f t="shared" si="2"/>
        <v>No</v>
      </c>
      <c r="H48" t="str">
        <f>INDEX(Lookup!$C$2:$C$9,MATCH(tblSales[[#This Row],[Category Code]],Lookup!$A$2:$A$9,0))</f>
        <v>Respiratory system</v>
      </c>
    </row>
    <row r="49" spans="1:8" x14ac:dyDescent="0.25">
      <c r="A49" s="4">
        <v>41820</v>
      </c>
      <c r="B49" s="5">
        <f t="shared" si="0"/>
        <v>2014</v>
      </c>
      <c r="C49" s="5">
        <f t="shared" si="1"/>
        <v>6</v>
      </c>
      <c r="D49" s="5" t="s">
        <v>16</v>
      </c>
      <c r="E49" s="5" t="str">
        <f>VLOOKUP(D49,Lookup!$A$2:$C$9,2,FALSE())</f>
        <v>Antihistamines</v>
      </c>
      <c r="F49" s="6">
        <v>109.3</v>
      </c>
      <c r="G49" s="5" t="str">
        <f t="shared" si="2"/>
        <v>No</v>
      </c>
      <c r="H49" t="str">
        <f>INDEX(Lookup!$C$2:$C$9,MATCH(tblSales[[#This Row],[Category Code]],Lookup!$A$2:$A$9,0))</f>
        <v>Respiratory system</v>
      </c>
    </row>
    <row r="50" spans="1:8" x14ac:dyDescent="0.25">
      <c r="A50" s="4">
        <v>41851</v>
      </c>
      <c r="B50" s="5">
        <f t="shared" si="0"/>
        <v>2014</v>
      </c>
      <c r="C50" s="5">
        <f t="shared" si="1"/>
        <v>7</v>
      </c>
      <c r="D50" s="5" t="s">
        <v>9</v>
      </c>
      <c r="E50" s="5" t="str">
        <f>VLOOKUP(D50,Lookup!$A$2:$C$9,2,FALSE())</f>
        <v>Anti-inflammatory (acetic acid)</v>
      </c>
      <c r="F50" s="6">
        <v>117.06</v>
      </c>
      <c r="G50" s="5" t="str">
        <f t="shared" si="2"/>
        <v>No</v>
      </c>
      <c r="H50" t="str">
        <f>INDEX(Lookup!$C$2:$C$9,MATCH(tblSales[[#This Row],[Category Code]],Lookup!$A$2:$A$9,0))</f>
        <v>Musculo-skeletal system</v>
      </c>
    </row>
    <row r="51" spans="1:8" x14ac:dyDescent="0.25">
      <c r="A51" s="4">
        <v>41851</v>
      </c>
      <c r="B51" s="5">
        <f t="shared" si="0"/>
        <v>2014</v>
      </c>
      <c r="C51" s="5">
        <f t="shared" si="1"/>
        <v>7</v>
      </c>
      <c r="D51" s="5" t="s">
        <v>10</v>
      </c>
      <c r="E51" s="5" t="str">
        <f>VLOOKUP(D51,Lookup!$A$2:$C$9,2,FALSE())</f>
        <v>Anti-inflammatory (propionic acid)</v>
      </c>
      <c r="F51" s="6">
        <v>95.01</v>
      </c>
      <c r="G51" s="5" t="str">
        <f t="shared" si="2"/>
        <v>No</v>
      </c>
      <c r="H51" t="str">
        <f>INDEX(Lookup!$C$2:$C$9,MATCH(tblSales[[#This Row],[Category Code]],Lookup!$A$2:$A$9,0))</f>
        <v>Musculo-skeletal system</v>
      </c>
    </row>
    <row r="52" spans="1:8" x14ac:dyDescent="0.25">
      <c r="A52" s="4">
        <v>41851</v>
      </c>
      <c r="B52" s="5">
        <f t="shared" si="0"/>
        <v>2014</v>
      </c>
      <c r="C52" s="5">
        <f t="shared" si="1"/>
        <v>7</v>
      </c>
      <c r="D52" s="5" t="s">
        <v>11</v>
      </c>
      <c r="E52" s="5" t="str">
        <f>VLOOKUP(D52,Lookup!$A$2:$C$9,2,FALSE())</f>
        <v>Analgesic (salicylic acid)</v>
      </c>
      <c r="F52" s="6">
        <v>129.30000000000001</v>
      </c>
      <c r="G52" s="5" t="str">
        <f t="shared" si="2"/>
        <v>No</v>
      </c>
      <c r="H52" t="str">
        <f>INDEX(Lookup!$C$2:$C$9,MATCH(tblSales[[#This Row],[Category Code]],Lookup!$A$2:$A$9,0))</f>
        <v>Nervous system</v>
      </c>
    </row>
    <row r="53" spans="1:8" x14ac:dyDescent="0.25">
      <c r="A53" s="4">
        <v>41851</v>
      </c>
      <c r="B53" s="5">
        <f t="shared" si="0"/>
        <v>2014</v>
      </c>
      <c r="C53" s="5">
        <f t="shared" si="1"/>
        <v>7</v>
      </c>
      <c r="D53" s="5" t="s">
        <v>12</v>
      </c>
      <c r="E53" s="5" t="str">
        <f>VLOOKUP(D53,Lookup!$A$2:$C$9,2,FALSE())</f>
        <v>Analgesic (paracetamol-type)</v>
      </c>
      <c r="F53" s="6">
        <v>491.9</v>
      </c>
      <c r="G53" s="5" t="str">
        <f t="shared" si="2"/>
        <v>No</v>
      </c>
      <c r="H53" t="str">
        <f>INDEX(Lookup!$C$2:$C$9,MATCH(tblSales[[#This Row],[Category Code]],Lookup!$A$2:$A$9,0))</f>
        <v>Nervous system</v>
      </c>
    </row>
    <row r="54" spans="1:8" x14ac:dyDescent="0.25">
      <c r="A54" s="4">
        <v>41851</v>
      </c>
      <c r="B54" s="5">
        <f t="shared" si="0"/>
        <v>2014</v>
      </c>
      <c r="C54" s="5">
        <f t="shared" si="1"/>
        <v>7</v>
      </c>
      <c r="D54" s="5" t="s">
        <v>13</v>
      </c>
      <c r="E54" s="5" t="str">
        <f>VLOOKUP(D54,Lookup!$A$2:$C$9,2,FALSE())</f>
        <v>Anxiolytics</v>
      </c>
      <c r="F54" s="6">
        <v>348</v>
      </c>
      <c r="G54" s="5" t="str">
        <f t="shared" si="2"/>
        <v>No</v>
      </c>
      <c r="H54" t="str">
        <f>INDEX(Lookup!$C$2:$C$9,MATCH(tblSales[[#This Row],[Category Code]],Lookup!$A$2:$A$9,0))</f>
        <v>Nervous system</v>
      </c>
    </row>
    <row r="55" spans="1:8" x14ac:dyDescent="0.25">
      <c r="A55" s="4">
        <v>41851</v>
      </c>
      <c r="B55" s="5">
        <f t="shared" si="0"/>
        <v>2014</v>
      </c>
      <c r="C55" s="5">
        <f t="shared" si="1"/>
        <v>7</v>
      </c>
      <c r="D55" s="5" t="s">
        <v>14</v>
      </c>
      <c r="E55" s="5" t="str">
        <f>VLOOKUP(D55,Lookup!$A$2:$C$9,2,FALSE())</f>
        <v>Hypnotics &amp; sedatives</v>
      </c>
      <c r="F55" s="6">
        <v>21</v>
      </c>
      <c r="G55" s="5" t="str">
        <f t="shared" si="2"/>
        <v>No</v>
      </c>
      <c r="H55" t="str">
        <f>INDEX(Lookup!$C$2:$C$9,MATCH(tblSales[[#This Row],[Category Code]],Lookup!$A$2:$A$9,0))</f>
        <v>Nervous system</v>
      </c>
    </row>
    <row r="56" spans="1:8" x14ac:dyDescent="0.25">
      <c r="A56" s="4">
        <v>41851</v>
      </c>
      <c r="B56" s="5">
        <f t="shared" si="0"/>
        <v>2014</v>
      </c>
      <c r="C56" s="5">
        <f t="shared" si="1"/>
        <v>7</v>
      </c>
      <c r="D56" s="5" t="s">
        <v>15</v>
      </c>
      <c r="E56" s="5" t="str">
        <f>VLOOKUP(D56,Lookup!$A$2:$C$9,2,FALSE())</f>
        <v>Airway disease drugs</v>
      </c>
      <c r="F56" s="6">
        <v>61</v>
      </c>
      <c r="G56" s="5" t="str">
        <f t="shared" si="2"/>
        <v>No</v>
      </c>
      <c r="H56" t="str">
        <f>INDEX(Lookup!$C$2:$C$9,MATCH(tblSales[[#This Row],[Category Code]],Lookup!$A$2:$A$9,0))</f>
        <v>Respiratory system</v>
      </c>
    </row>
    <row r="57" spans="1:8" x14ac:dyDescent="0.25">
      <c r="A57" s="4">
        <v>41851</v>
      </c>
      <c r="B57" s="5">
        <f t="shared" si="0"/>
        <v>2014</v>
      </c>
      <c r="C57" s="5">
        <f t="shared" si="1"/>
        <v>7</v>
      </c>
      <c r="D57" s="5" t="s">
        <v>16</v>
      </c>
      <c r="E57" s="5" t="str">
        <f>VLOOKUP(D57,Lookup!$A$2:$C$9,2,FALSE())</f>
        <v>Antihistamines</v>
      </c>
      <c r="F57" s="6">
        <v>69.099999999999994</v>
      </c>
      <c r="G57" s="5" t="str">
        <f t="shared" si="2"/>
        <v>No</v>
      </c>
      <c r="H57" t="str">
        <f>INDEX(Lookup!$C$2:$C$9,MATCH(tblSales[[#This Row],[Category Code]],Lookup!$A$2:$A$9,0))</f>
        <v>Respiratory system</v>
      </c>
    </row>
    <row r="58" spans="1:8" x14ac:dyDescent="0.25">
      <c r="A58" s="4">
        <v>41882</v>
      </c>
      <c r="B58" s="5">
        <f t="shared" si="0"/>
        <v>2014</v>
      </c>
      <c r="C58" s="5">
        <f t="shared" si="1"/>
        <v>8</v>
      </c>
      <c r="D58" s="5" t="s">
        <v>9</v>
      </c>
      <c r="E58" s="5" t="str">
        <f>VLOOKUP(D58,Lookup!$A$2:$C$9,2,FALSE())</f>
        <v>Anti-inflammatory (acetic acid)</v>
      </c>
      <c r="F58" s="6">
        <v>124.79</v>
      </c>
      <c r="G58" s="5" t="str">
        <f t="shared" si="2"/>
        <v>No</v>
      </c>
      <c r="H58" t="str">
        <f>INDEX(Lookup!$C$2:$C$9,MATCH(tblSales[[#This Row],[Category Code]],Lookup!$A$2:$A$9,0))</f>
        <v>Musculo-skeletal system</v>
      </c>
    </row>
    <row r="59" spans="1:8" x14ac:dyDescent="0.25">
      <c r="A59" s="4">
        <v>41882</v>
      </c>
      <c r="B59" s="5">
        <f t="shared" si="0"/>
        <v>2014</v>
      </c>
      <c r="C59" s="5">
        <f t="shared" si="1"/>
        <v>8</v>
      </c>
      <c r="D59" s="5" t="s">
        <v>10</v>
      </c>
      <c r="E59" s="5" t="str">
        <f>VLOOKUP(D59,Lookup!$A$2:$C$9,2,FALSE())</f>
        <v>Anti-inflammatory (propionic acid)</v>
      </c>
      <c r="F59" s="6">
        <v>99.78</v>
      </c>
      <c r="G59" s="5" t="str">
        <f t="shared" si="2"/>
        <v>No</v>
      </c>
      <c r="H59" t="str">
        <f>INDEX(Lookup!$C$2:$C$9,MATCH(tblSales[[#This Row],[Category Code]],Lookup!$A$2:$A$9,0))</f>
        <v>Musculo-skeletal system</v>
      </c>
    </row>
    <row r="60" spans="1:8" x14ac:dyDescent="0.25">
      <c r="A60" s="4">
        <v>41882</v>
      </c>
      <c r="B60" s="5">
        <f t="shared" si="0"/>
        <v>2014</v>
      </c>
      <c r="C60" s="5">
        <f t="shared" si="1"/>
        <v>8</v>
      </c>
      <c r="D60" s="5" t="s">
        <v>11</v>
      </c>
      <c r="E60" s="5" t="str">
        <f>VLOOKUP(D60,Lookup!$A$2:$C$9,2,FALSE())</f>
        <v>Analgesic (salicylic acid)</v>
      </c>
      <c r="F60" s="6">
        <v>123.8</v>
      </c>
      <c r="G60" s="5" t="str">
        <f t="shared" si="2"/>
        <v>No</v>
      </c>
      <c r="H60" t="str">
        <f>INDEX(Lookup!$C$2:$C$9,MATCH(tblSales[[#This Row],[Category Code]],Lookup!$A$2:$A$9,0))</f>
        <v>Nervous system</v>
      </c>
    </row>
    <row r="61" spans="1:8" x14ac:dyDescent="0.25">
      <c r="A61" s="4">
        <v>41882</v>
      </c>
      <c r="B61" s="5">
        <f t="shared" si="0"/>
        <v>2014</v>
      </c>
      <c r="C61" s="5">
        <f t="shared" si="1"/>
        <v>8</v>
      </c>
      <c r="D61" s="5" t="s">
        <v>12</v>
      </c>
      <c r="E61" s="5" t="str">
        <f>VLOOKUP(D61,Lookup!$A$2:$C$9,2,FALSE())</f>
        <v>Analgesic (paracetamol-type)</v>
      </c>
      <c r="F61" s="6">
        <v>547.35</v>
      </c>
      <c r="G61" s="5" t="str">
        <f t="shared" si="2"/>
        <v>No</v>
      </c>
      <c r="H61" t="str">
        <f>INDEX(Lookup!$C$2:$C$9,MATCH(tblSales[[#This Row],[Category Code]],Lookup!$A$2:$A$9,0))</f>
        <v>Nervous system</v>
      </c>
    </row>
    <row r="62" spans="1:8" x14ac:dyDescent="0.25">
      <c r="A62" s="4">
        <v>41882</v>
      </c>
      <c r="B62" s="5">
        <f t="shared" si="0"/>
        <v>2014</v>
      </c>
      <c r="C62" s="5">
        <f t="shared" si="1"/>
        <v>8</v>
      </c>
      <c r="D62" s="5" t="s">
        <v>13</v>
      </c>
      <c r="E62" s="5" t="str">
        <f>VLOOKUP(D62,Lookup!$A$2:$C$9,2,FALSE())</f>
        <v>Anxiolytics</v>
      </c>
      <c r="F62" s="6">
        <v>420</v>
      </c>
      <c r="G62" s="5" t="str">
        <f t="shared" si="2"/>
        <v>No</v>
      </c>
      <c r="H62" t="str">
        <f>INDEX(Lookup!$C$2:$C$9,MATCH(tblSales[[#This Row],[Category Code]],Lookup!$A$2:$A$9,0))</f>
        <v>Nervous system</v>
      </c>
    </row>
    <row r="63" spans="1:8" x14ac:dyDescent="0.25">
      <c r="A63" s="4">
        <v>41882</v>
      </c>
      <c r="B63" s="5">
        <f t="shared" si="0"/>
        <v>2014</v>
      </c>
      <c r="C63" s="5">
        <f t="shared" si="1"/>
        <v>8</v>
      </c>
      <c r="D63" s="5" t="s">
        <v>14</v>
      </c>
      <c r="E63" s="5" t="str">
        <f>VLOOKUP(D63,Lookup!$A$2:$C$9,2,FALSE())</f>
        <v>Hypnotics &amp; sedatives</v>
      </c>
      <c r="F63" s="6">
        <v>29</v>
      </c>
      <c r="G63" s="5" t="str">
        <f t="shared" si="2"/>
        <v>No</v>
      </c>
      <c r="H63" t="str">
        <f>INDEX(Lookup!$C$2:$C$9,MATCH(tblSales[[#This Row],[Category Code]],Lookup!$A$2:$A$9,0))</f>
        <v>Nervous system</v>
      </c>
    </row>
    <row r="64" spans="1:8" x14ac:dyDescent="0.25">
      <c r="A64" s="4">
        <v>41882</v>
      </c>
      <c r="B64" s="5">
        <f t="shared" si="0"/>
        <v>2014</v>
      </c>
      <c r="C64" s="5">
        <f t="shared" si="1"/>
        <v>8</v>
      </c>
      <c r="D64" s="5" t="s">
        <v>15</v>
      </c>
      <c r="E64" s="5" t="str">
        <f>VLOOKUP(D64,Lookup!$A$2:$C$9,2,FALSE())</f>
        <v>Airway disease drugs</v>
      </c>
      <c r="F64" s="6">
        <v>37</v>
      </c>
      <c r="G64" s="5" t="str">
        <f t="shared" si="2"/>
        <v>No</v>
      </c>
      <c r="H64" t="str">
        <f>INDEX(Lookup!$C$2:$C$9,MATCH(tblSales[[#This Row],[Category Code]],Lookup!$A$2:$A$9,0))</f>
        <v>Respiratory system</v>
      </c>
    </row>
    <row r="65" spans="1:8" x14ac:dyDescent="0.25">
      <c r="A65" s="4">
        <v>41882</v>
      </c>
      <c r="B65" s="5">
        <f t="shared" si="0"/>
        <v>2014</v>
      </c>
      <c r="C65" s="5">
        <f t="shared" si="1"/>
        <v>8</v>
      </c>
      <c r="D65" s="5" t="s">
        <v>16</v>
      </c>
      <c r="E65" s="5" t="str">
        <f>VLOOKUP(D65,Lookup!$A$2:$C$9,2,FALSE())</f>
        <v>Antihistamines</v>
      </c>
      <c r="F65" s="6">
        <v>70.8</v>
      </c>
      <c r="G65" s="5" t="str">
        <f t="shared" si="2"/>
        <v>No</v>
      </c>
      <c r="H65" t="str">
        <f>INDEX(Lookup!$C$2:$C$9,MATCH(tblSales[[#This Row],[Category Code]],Lookup!$A$2:$A$9,0))</f>
        <v>Respiratory system</v>
      </c>
    </row>
    <row r="66" spans="1:8" x14ac:dyDescent="0.25">
      <c r="A66" s="4">
        <v>41912</v>
      </c>
      <c r="B66" s="5">
        <f t="shared" ref="B66:B129" si="3">YEAR(A66)</f>
        <v>2014</v>
      </c>
      <c r="C66" s="5">
        <f t="shared" ref="C66:C129" si="4">MONTH(A66)</f>
        <v>9</v>
      </c>
      <c r="D66" s="5" t="s">
        <v>9</v>
      </c>
      <c r="E66" s="5" t="str">
        <f>VLOOKUP(D66,Lookup!$A$2:$C$9,2,FALSE())</f>
        <v>Anti-inflammatory (acetic acid)</v>
      </c>
      <c r="F66" s="6">
        <v>108.78</v>
      </c>
      <c r="G66" s="5" t="str">
        <f t="shared" ref="G66:G129" si="5">IF(A66=DATE(2019,10,31),"Yes","No")</f>
        <v>No</v>
      </c>
      <c r="H66" t="str">
        <f>INDEX(Lookup!$C$2:$C$9,MATCH(tblSales[[#This Row],[Category Code]],Lookup!$A$2:$A$9,0))</f>
        <v>Musculo-skeletal system</v>
      </c>
    </row>
    <row r="67" spans="1:8" x14ac:dyDescent="0.25">
      <c r="A67" s="4">
        <v>41912</v>
      </c>
      <c r="B67" s="5">
        <f t="shared" si="3"/>
        <v>2014</v>
      </c>
      <c r="C67" s="5">
        <f t="shared" si="4"/>
        <v>9</v>
      </c>
      <c r="D67" s="5" t="s">
        <v>10</v>
      </c>
      <c r="E67" s="5" t="str">
        <f>VLOOKUP(D67,Lookup!$A$2:$C$9,2,FALSE())</f>
        <v>Anti-inflammatory (propionic acid)</v>
      </c>
      <c r="F67" s="6">
        <v>109.09</v>
      </c>
      <c r="G67" s="5" t="str">
        <f t="shared" si="5"/>
        <v>No</v>
      </c>
      <c r="H67" t="str">
        <f>INDEX(Lookup!$C$2:$C$9,MATCH(tblSales[[#This Row],[Category Code]],Lookup!$A$2:$A$9,0))</f>
        <v>Musculo-skeletal system</v>
      </c>
    </row>
    <row r="68" spans="1:8" x14ac:dyDescent="0.25">
      <c r="A68" s="4">
        <v>41912</v>
      </c>
      <c r="B68" s="5">
        <f t="shared" si="3"/>
        <v>2014</v>
      </c>
      <c r="C68" s="5">
        <f t="shared" si="4"/>
        <v>9</v>
      </c>
      <c r="D68" s="5" t="s">
        <v>11</v>
      </c>
      <c r="E68" s="5" t="str">
        <f>VLOOKUP(D68,Lookup!$A$2:$C$9,2,FALSE())</f>
        <v>Analgesic (salicylic acid)</v>
      </c>
      <c r="F68" s="6">
        <v>112.1</v>
      </c>
      <c r="G68" s="5" t="str">
        <f t="shared" si="5"/>
        <v>No</v>
      </c>
      <c r="H68" t="str">
        <f>INDEX(Lookup!$C$2:$C$9,MATCH(tblSales[[#This Row],[Category Code]],Lookup!$A$2:$A$9,0))</f>
        <v>Nervous system</v>
      </c>
    </row>
    <row r="69" spans="1:8" x14ac:dyDescent="0.25">
      <c r="A69" s="4">
        <v>41912</v>
      </c>
      <c r="B69" s="5">
        <f t="shared" si="3"/>
        <v>2014</v>
      </c>
      <c r="C69" s="5">
        <f t="shared" si="4"/>
        <v>9</v>
      </c>
      <c r="D69" s="5" t="s">
        <v>12</v>
      </c>
      <c r="E69" s="5" t="str">
        <f>VLOOKUP(D69,Lookup!$A$2:$C$9,2,FALSE())</f>
        <v>Analgesic (paracetamol-type)</v>
      </c>
      <c r="F69" s="6">
        <v>887.82</v>
      </c>
      <c r="G69" s="5" t="str">
        <f t="shared" si="5"/>
        <v>No</v>
      </c>
      <c r="H69" t="str">
        <f>INDEX(Lookup!$C$2:$C$9,MATCH(tblSales[[#This Row],[Category Code]],Lookup!$A$2:$A$9,0))</f>
        <v>Nervous system</v>
      </c>
    </row>
    <row r="70" spans="1:8" x14ac:dyDescent="0.25">
      <c r="A70" s="4">
        <v>41912</v>
      </c>
      <c r="B70" s="5">
        <f t="shared" si="3"/>
        <v>2014</v>
      </c>
      <c r="C70" s="5">
        <f t="shared" si="4"/>
        <v>9</v>
      </c>
      <c r="D70" s="5" t="s">
        <v>13</v>
      </c>
      <c r="E70" s="5" t="str">
        <f>VLOOKUP(D70,Lookup!$A$2:$C$9,2,FALSE())</f>
        <v>Anxiolytics</v>
      </c>
      <c r="F70" s="6">
        <v>399</v>
      </c>
      <c r="G70" s="5" t="str">
        <f t="shared" si="5"/>
        <v>No</v>
      </c>
      <c r="H70" t="str">
        <f>INDEX(Lookup!$C$2:$C$9,MATCH(tblSales[[#This Row],[Category Code]],Lookup!$A$2:$A$9,0))</f>
        <v>Nervous system</v>
      </c>
    </row>
    <row r="71" spans="1:8" x14ac:dyDescent="0.25">
      <c r="A71" s="4">
        <v>41912</v>
      </c>
      <c r="B71" s="5">
        <f t="shared" si="3"/>
        <v>2014</v>
      </c>
      <c r="C71" s="5">
        <f t="shared" si="4"/>
        <v>9</v>
      </c>
      <c r="D71" s="5" t="s">
        <v>14</v>
      </c>
      <c r="E71" s="5" t="str">
        <f>VLOOKUP(D71,Lookup!$A$2:$C$9,2,FALSE())</f>
        <v>Hypnotics &amp; sedatives</v>
      </c>
      <c r="F71" s="6">
        <v>14</v>
      </c>
      <c r="G71" s="5" t="str">
        <f t="shared" si="5"/>
        <v>No</v>
      </c>
      <c r="H71" t="str">
        <f>INDEX(Lookup!$C$2:$C$9,MATCH(tblSales[[#This Row],[Category Code]],Lookup!$A$2:$A$9,0))</f>
        <v>Nervous system</v>
      </c>
    </row>
    <row r="72" spans="1:8" x14ac:dyDescent="0.25">
      <c r="A72" s="4">
        <v>41912</v>
      </c>
      <c r="B72" s="5">
        <f t="shared" si="3"/>
        <v>2014</v>
      </c>
      <c r="C72" s="5">
        <f t="shared" si="4"/>
        <v>9</v>
      </c>
      <c r="D72" s="5" t="s">
        <v>15</v>
      </c>
      <c r="E72" s="5" t="str">
        <f>VLOOKUP(D72,Lookup!$A$2:$C$9,2,FALSE())</f>
        <v>Airway disease drugs</v>
      </c>
      <c r="F72" s="6">
        <v>115</v>
      </c>
      <c r="G72" s="5" t="str">
        <f t="shared" si="5"/>
        <v>No</v>
      </c>
      <c r="H72" t="str">
        <f>INDEX(Lookup!$C$2:$C$9,MATCH(tblSales[[#This Row],[Category Code]],Lookup!$A$2:$A$9,0))</f>
        <v>Respiratory system</v>
      </c>
    </row>
    <row r="73" spans="1:8" x14ac:dyDescent="0.25">
      <c r="A73" s="4">
        <v>41912</v>
      </c>
      <c r="B73" s="5">
        <f t="shared" si="3"/>
        <v>2014</v>
      </c>
      <c r="C73" s="5">
        <f t="shared" si="4"/>
        <v>9</v>
      </c>
      <c r="D73" s="5" t="s">
        <v>16</v>
      </c>
      <c r="E73" s="5" t="str">
        <f>VLOOKUP(D73,Lookup!$A$2:$C$9,2,FALSE())</f>
        <v>Antihistamines</v>
      </c>
      <c r="F73" s="6">
        <v>58.8</v>
      </c>
      <c r="G73" s="5" t="str">
        <f t="shared" si="5"/>
        <v>No</v>
      </c>
      <c r="H73" t="str">
        <f>INDEX(Lookup!$C$2:$C$9,MATCH(tblSales[[#This Row],[Category Code]],Lookup!$A$2:$A$9,0))</f>
        <v>Respiratory system</v>
      </c>
    </row>
    <row r="74" spans="1:8" x14ac:dyDescent="0.25">
      <c r="A74" s="4">
        <v>41943</v>
      </c>
      <c r="B74" s="5">
        <f t="shared" si="3"/>
        <v>2014</v>
      </c>
      <c r="C74" s="5">
        <f t="shared" si="4"/>
        <v>10</v>
      </c>
      <c r="D74" s="5" t="s">
        <v>9</v>
      </c>
      <c r="E74" s="5" t="str">
        <f>VLOOKUP(D74,Lookup!$A$2:$C$9,2,FALSE())</f>
        <v>Anti-inflammatory (acetic acid)</v>
      </c>
      <c r="F74" s="6">
        <v>101.19</v>
      </c>
      <c r="G74" s="5" t="str">
        <f t="shared" si="5"/>
        <v>No</v>
      </c>
      <c r="H74" t="str">
        <f>INDEX(Lookup!$C$2:$C$9,MATCH(tblSales[[#This Row],[Category Code]],Lookup!$A$2:$A$9,0))</f>
        <v>Musculo-skeletal system</v>
      </c>
    </row>
    <row r="75" spans="1:8" x14ac:dyDescent="0.25">
      <c r="A75" s="4">
        <v>41943</v>
      </c>
      <c r="B75" s="5">
        <f t="shared" si="3"/>
        <v>2014</v>
      </c>
      <c r="C75" s="5">
        <f t="shared" si="4"/>
        <v>10</v>
      </c>
      <c r="D75" s="5" t="s">
        <v>10</v>
      </c>
      <c r="E75" s="5" t="str">
        <f>VLOOKUP(D75,Lookup!$A$2:$C$9,2,FALSE())</f>
        <v>Anti-inflammatory (propionic acid)</v>
      </c>
      <c r="F75" s="6">
        <v>108.75</v>
      </c>
      <c r="G75" s="5" t="str">
        <f t="shared" si="5"/>
        <v>No</v>
      </c>
      <c r="H75" t="str">
        <f>INDEX(Lookup!$C$2:$C$9,MATCH(tblSales[[#This Row],[Category Code]],Lookup!$A$2:$A$9,0))</f>
        <v>Musculo-skeletal system</v>
      </c>
    </row>
    <row r="76" spans="1:8" x14ac:dyDescent="0.25">
      <c r="A76" s="4">
        <v>41943</v>
      </c>
      <c r="B76" s="5">
        <f t="shared" si="3"/>
        <v>2014</v>
      </c>
      <c r="C76" s="5">
        <f t="shared" si="4"/>
        <v>10</v>
      </c>
      <c r="D76" s="5" t="s">
        <v>11</v>
      </c>
      <c r="E76" s="5" t="str">
        <f>VLOOKUP(D76,Lookup!$A$2:$C$9,2,FALSE())</f>
        <v>Analgesic (salicylic acid)</v>
      </c>
      <c r="F76" s="6">
        <v>140.54</v>
      </c>
      <c r="G76" s="5" t="str">
        <f t="shared" si="5"/>
        <v>No</v>
      </c>
      <c r="H76" t="str">
        <f>INDEX(Lookup!$C$2:$C$9,MATCH(tblSales[[#This Row],[Category Code]],Lookup!$A$2:$A$9,0))</f>
        <v>Nervous system</v>
      </c>
    </row>
    <row r="77" spans="1:8" x14ac:dyDescent="0.25">
      <c r="A77" s="4">
        <v>41943</v>
      </c>
      <c r="B77" s="5">
        <f t="shared" si="3"/>
        <v>2014</v>
      </c>
      <c r="C77" s="5">
        <f t="shared" si="4"/>
        <v>10</v>
      </c>
      <c r="D77" s="5" t="s">
        <v>12</v>
      </c>
      <c r="E77" s="5" t="str">
        <f>VLOOKUP(D77,Lookup!$A$2:$C$9,2,FALSE())</f>
        <v>Analgesic (paracetamol-type)</v>
      </c>
      <c r="F77" s="6">
        <v>1073.1400000000001</v>
      </c>
      <c r="G77" s="5" t="str">
        <f t="shared" si="5"/>
        <v>No</v>
      </c>
      <c r="H77" t="str">
        <f>INDEX(Lookup!$C$2:$C$9,MATCH(tblSales[[#This Row],[Category Code]],Lookup!$A$2:$A$9,0))</f>
        <v>Nervous system</v>
      </c>
    </row>
    <row r="78" spans="1:8" x14ac:dyDescent="0.25">
      <c r="A78" s="4">
        <v>41943</v>
      </c>
      <c r="B78" s="5">
        <f t="shared" si="3"/>
        <v>2014</v>
      </c>
      <c r="C78" s="5">
        <f t="shared" si="4"/>
        <v>10</v>
      </c>
      <c r="D78" s="5" t="s">
        <v>13</v>
      </c>
      <c r="E78" s="5" t="str">
        <f>VLOOKUP(D78,Lookup!$A$2:$C$9,2,FALSE())</f>
        <v>Anxiolytics</v>
      </c>
      <c r="F78" s="6">
        <v>432.06</v>
      </c>
      <c r="G78" s="5" t="str">
        <f t="shared" si="5"/>
        <v>No</v>
      </c>
      <c r="H78" t="str">
        <f>INDEX(Lookup!$C$2:$C$9,MATCH(tblSales[[#This Row],[Category Code]],Lookup!$A$2:$A$9,0))</f>
        <v>Nervous system</v>
      </c>
    </row>
    <row r="79" spans="1:8" x14ac:dyDescent="0.25">
      <c r="A79" s="4">
        <v>41943</v>
      </c>
      <c r="B79" s="5">
        <f t="shared" si="3"/>
        <v>2014</v>
      </c>
      <c r="C79" s="5">
        <f t="shared" si="4"/>
        <v>10</v>
      </c>
      <c r="D79" s="5" t="s">
        <v>14</v>
      </c>
      <c r="E79" s="5" t="str">
        <f>VLOOKUP(D79,Lookup!$A$2:$C$9,2,FALSE())</f>
        <v>Hypnotics &amp; sedatives</v>
      </c>
      <c r="F79" s="6">
        <v>19.62</v>
      </c>
      <c r="G79" s="5" t="str">
        <f t="shared" si="5"/>
        <v>No</v>
      </c>
      <c r="H79" t="str">
        <f>INDEX(Lookup!$C$2:$C$9,MATCH(tblSales[[#This Row],[Category Code]],Lookup!$A$2:$A$9,0))</f>
        <v>Nervous system</v>
      </c>
    </row>
    <row r="80" spans="1:8" x14ac:dyDescent="0.25">
      <c r="A80" s="4">
        <v>41943</v>
      </c>
      <c r="B80" s="5">
        <f t="shared" si="3"/>
        <v>2014</v>
      </c>
      <c r="C80" s="5">
        <f t="shared" si="4"/>
        <v>10</v>
      </c>
      <c r="D80" s="5" t="s">
        <v>15</v>
      </c>
      <c r="E80" s="5" t="str">
        <f>VLOOKUP(D80,Lookup!$A$2:$C$9,2,FALSE())</f>
        <v>Airway disease drugs</v>
      </c>
      <c r="F80" s="6">
        <v>160</v>
      </c>
      <c r="G80" s="5" t="str">
        <f t="shared" si="5"/>
        <v>No</v>
      </c>
      <c r="H80" t="str">
        <f>INDEX(Lookup!$C$2:$C$9,MATCH(tblSales[[#This Row],[Category Code]],Lookup!$A$2:$A$9,0))</f>
        <v>Respiratory system</v>
      </c>
    </row>
    <row r="81" spans="1:8" x14ac:dyDescent="0.25">
      <c r="A81" s="4">
        <v>41943</v>
      </c>
      <c r="B81" s="5">
        <f t="shared" si="3"/>
        <v>2014</v>
      </c>
      <c r="C81" s="5">
        <f t="shared" si="4"/>
        <v>10</v>
      </c>
      <c r="D81" s="5" t="s">
        <v>16</v>
      </c>
      <c r="E81" s="5" t="str">
        <f>VLOOKUP(D81,Lookup!$A$2:$C$9,2,FALSE())</f>
        <v>Antihistamines</v>
      </c>
      <c r="F81" s="6">
        <v>46.69</v>
      </c>
      <c r="G81" s="5" t="str">
        <f t="shared" si="5"/>
        <v>No</v>
      </c>
      <c r="H81" t="str">
        <f>INDEX(Lookup!$C$2:$C$9,MATCH(tblSales[[#This Row],[Category Code]],Lookup!$A$2:$A$9,0))</f>
        <v>Respiratory system</v>
      </c>
    </row>
    <row r="82" spans="1:8" x14ac:dyDescent="0.25">
      <c r="A82" s="4">
        <v>41973</v>
      </c>
      <c r="B82" s="5">
        <f t="shared" si="3"/>
        <v>2014</v>
      </c>
      <c r="C82" s="5">
        <f t="shared" si="4"/>
        <v>11</v>
      </c>
      <c r="D82" s="5" t="s">
        <v>9</v>
      </c>
      <c r="E82" s="5" t="str">
        <f>VLOOKUP(D82,Lookup!$A$2:$C$9,2,FALSE())</f>
        <v>Anti-inflammatory (acetic acid)</v>
      </c>
      <c r="F82" s="6">
        <v>138.08000000000001</v>
      </c>
      <c r="G82" s="5" t="str">
        <f t="shared" si="5"/>
        <v>No</v>
      </c>
      <c r="H82" t="str">
        <f>INDEX(Lookup!$C$2:$C$9,MATCH(tblSales[[#This Row],[Category Code]],Lookup!$A$2:$A$9,0))</f>
        <v>Musculo-skeletal system</v>
      </c>
    </row>
    <row r="83" spans="1:8" x14ac:dyDescent="0.25">
      <c r="A83" s="4">
        <v>41973</v>
      </c>
      <c r="B83" s="5">
        <f t="shared" si="3"/>
        <v>2014</v>
      </c>
      <c r="C83" s="5">
        <f t="shared" si="4"/>
        <v>11</v>
      </c>
      <c r="D83" s="5" t="s">
        <v>10</v>
      </c>
      <c r="E83" s="5" t="str">
        <f>VLOOKUP(D83,Lookup!$A$2:$C$9,2,FALSE())</f>
        <v>Anti-inflammatory (propionic acid)</v>
      </c>
      <c r="F83" s="6">
        <v>100.86</v>
      </c>
      <c r="G83" s="5" t="str">
        <f t="shared" si="5"/>
        <v>No</v>
      </c>
      <c r="H83" t="str">
        <f>INDEX(Lookup!$C$2:$C$9,MATCH(tblSales[[#This Row],[Category Code]],Lookup!$A$2:$A$9,0))</f>
        <v>Musculo-skeletal system</v>
      </c>
    </row>
    <row r="84" spans="1:8" x14ac:dyDescent="0.25">
      <c r="A84" s="4">
        <v>41973</v>
      </c>
      <c r="B84" s="5">
        <f t="shared" si="3"/>
        <v>2014</v>
      </c>
      <c r="C84" s="5">
        <f t="shared" si="4"/>
        <v>11</v>
      </c>
      <c r="D84" s="5" t="s">
        <v>11</v>
      </c>
      <c r="E84" s="5" t="str">
        <f>VLOOKUP(D84,Lookup!$A$2:$C$9,2,FALSE())</f>
        <v>Analgesic (salicylic acid)</v>
      </c>
      <c r="F84" s="6">
        <v>142.69999999999999</v>
      </c>
      <c r="G84" s="5" t="str">
        <f t="shared" si="5"/>
        <v>No</v>
      </c>
      <c r="H84" t="str">
        <f>INDEX(Lookup!$C$2:$C$9,MATCH(tblSales[[#This Row],[Category Code]],Lookup!$A$2:$A$9,0))</f>
        <v>Nervous system</v>
      </c>
    </row>
    <row r="85" spans="1:8" x14ac:dyDescent="0.25">
      <c r="A85" s="4">
        <v>41973</v>
      </c>
      <c r="B85" s="5">
        <f t="shared" si="3"/>
        <v>2014</v>
      </c>
      <c r="C85" s="5">
        <f t="shared" si="4"/>
        <v>11</v>
      </c>
      <c r="D85" s="5" t="s">
        <v>12</v>
      </c>
      <c r="E85" s="5" t="str">
        <f>VLOOKUP(D85,Lookup!$A$2:$C$9,2,FALSE())</f>
        <v>Analgesic (paracetamol-type)</v>
      </c>
      <c r="F85" s="6">
        <v>723.8</v>
      </c>
      <c r="G85" s="5" t="str">
        <f t="shared" si="5"/>
        <v>No</v>
      </c>
      <c r="H85" t="str">
        <f>INDEX(Lookup!$C$2:$C$9,MATCH(tblSales[[#This Row],[Category Code]],Lookup!$A$2:$A$9,0))</f>
        <v>Nervous system</v>
      </c>
    </row>
    <row r="86" spans="1:8" x14ac:dyDescent="0.25">
      <c r="A86" s="4">
        <v>41973</v>
      </c>
      <c r="B86" s="5">
        <f t="shared" si="3"/>
        <v>2014</v>
      </c>
      <c r="C86" s="5">
        <f t="shared" si="4"/>
        <v>11</v>
      </c>
      <c r="D86" s="5" t="s">
        <v>13</v>
      </c>
      <c r="E86" s="5" t="str">
        <f>VLOOKUP(D86,Lookup!$A$2:$C$9,2,FALSE())</f>
        <v>Anxiolytics</v>
      </c>
      <c r="F86" s="6">
        <v>489</v>
      </c>
      <c r="G86" s="5" t="str">
        <f t="shared" si="5"/>
        <v>No</v>
      </c>
      <c r="H86" t="str">
        <f>INDEX(Lookup!$C$2:$C$9,MATCH(tblSales[[#This Row],[Category Code]],Lookup!$A$2:$A$9,0))</f>
        <v>Nervous system</v>
      </c>
    </row>
    <row r="87" spans="1:8" x14ac:dyDescent="0.25">
      <c r="A87" s="4">
        <v>41973</v>
      </c>
      <c r="B87" s="5">
        <f t="shared" si="3"/>
        <v>2014</v>
      </c>
      <c r="C87" s="5">
        <f t="shared" si="4"/>
        <v>11</v>
      </c>
      <c r="D87" s="5" t="s">
        <v>14</v>
      </c>
      <c r="E87" s="5" t="str">
        <f>VLOOKUP(D87,Lookup!$A$2:$C$9,2,FALSE())</f>
        <v>Hypnotics &amp; sedatives</v>
      </c>
      <c r="F87" s="6">
        <v>19</v>
      </c>
      <c r="G87" s="5" t="str">
        <f t="shared" si="5"/>
        <v>No</v>
      </c>
      <c r="H87" t="str">
        <f>INDEX(Lookup!$C$2:$C$9,MATCH(tblSales[[#This Row],[Category Code]],Lookup!$A$2:$A$9,0))</f>
        <v>Nervous system</v>
      </c>
    </row>
    <row r="88" spans="1:8" x14ac:dyDescent="0.25">
      <c r="A88" s="4">
        <v>41973</v>
      </c>
      <c r="B88" s="5">
        <f t="shared" si="3"/>
        <v>2014</v>
      </c>
      <c r="C88" s="5">
        <f t="shared" si="4"/>
        <v>11</v>
      </c>
      <c r="D88" s="5" t="s">
        <v>15</v>
      </c>
      <c r="E88" s="5" t="str">
        <f>VLOOKUP(D88,Lookup!$A$2:$C$9,2,FALSE())</f>
        <v>Airway disease drugs</v>
      </c>
      <c r="F88" s="6">
        <v>112</v>
      </c>
      <c r="G88" s="5" t="str">
        <f t="shared" si="5"/>
        <v>No</v>
      </c>
      <c r="H88" t="str">
        <f>INDEX(Lookup!$C$2:$C$9,MATCH(tblSales[[#This Row],[Category Code]],Lookup!$A$2:$A$9,0))</f>
        <v>Respiratory system</v>
      </c>
    </row>
    <row r="89" spans="1:8" x14ac:dyDescent="0.25">
      <c r="A89" s="4">
        <v>41973</v>
      </c>
      <c r="B89" s="5">
        <f t="shared" si="3"/>
        <v>2014</v>
      </c>
      <c r="C89" s="5">
        <f t="shared" si="4"/>
        <v>11</v>
      </c>
      <c r="D89" s="5" t="s">
        <v>16</v>
      </c>
      <c r="E89" s="5" t="str">
        <f>VLOOKUP(D89,Lookup!$A$2:$C$9,2,FALSE())</f>
        <v>Antihistamines</v>
      </c>
      <c r="F89" s="6">
        <v>45.2</v>
      </c>
      <c r="G89" s="5" t="str">
        <f t="shared" si="5"/>
        <v>No</v>
      </c>
      <c r="H89" t="str">
        <f>INDEX(Lookup!$C$2:$C$9,MATCH(tblSales[[#This Row],[Category Code]],Lookup!$A$2:$A$9,0))</f>
        <v>Respiratory system</v>
      </c>
    </row>
    <row r="90" spans="1:8" x14ac:dyDescent="0.25">
      <c r="A90" s="4">
        <v>42004</v>
      </c>
      <c r="B90" s="5">
        <f t="shared" si="3"/>
        <v>2014</v>
      </c>
      <c r="C90" s="5">
        <f t="shared" si="4"/>
        <v>12</v>
      </c>
      <c r="D90" s="5" t="s">
        <v>9</v>
      </c>
      <c r="E90" s="5" t="str">
        <f>VLOOKUP(D90,Lookup!$A$2:$C$9,2,FALSE())</f>
        <v>Anti-inflammatory (acetic acid)</v>
      </c>
      <c r="F90" s="6">
        <v>131.9</v>
      </c>
      <c r="G90" s="5" t="str">
        <f t="shared" si="5"/>
        <v>No</v>
      </c>
      <c r="H90" t="str">
        <f>INDEX(Lookup!$C$2:$C$9,MATCH(tblSales[[#This Row],[Category Code]],Lookup!$A$2:$A$9,0))</f>
        <v>Musculo-skeletal system</v>
      </c>
    </row>
    <row r="91" spans="1:8" x14ac:dyDescent="0.25">
      <c r="A91" s="4">
        <v>42004</v>
      </c>
      <c r="B91" s="5">
        <f t="shared" si="3"/>
        <v>2014</v>
      </c>
      <c r="C91" s="5">
        <f t="shared" si="4"/>
        <v>12</v>
      </c>
      <c r="D91" s="5" t="s">
        <v>10</v>
      </c>
      <c r="E91" s="5" t="str">
        <f>VLOOKUP(D91,Lookup!$A$2:$C$9,2,FALSE())</f>
        <v>Anti-inflammatory (propionic acid)</v>
      </c>
      <c r="F91" s="6">
        <v>121.4</v>
      </c>
      <c r="G91" s="5" t="str">
        <f t="shared" si="5"/>
        <v>No</v>
      </c>
      <c r="H91" t="str">
        <f>INDEX(Lookup!$C$2:$C$9,MATCH(tblSales[[#This Row],[Category Code]],Lookup!$A$2:$A$9,0))</f>
        <v>Musculo-skeletal system</v>
      </c>
    </row>
    <row r="92" spans="1:8" x14ac:dyDescent="0.25">
      <c r="A92" s="4">
        <v>42004</v>
      </c>
      <c r="B92" s="5">
        <f t="shared" si="3"/>
        <v>2014</v>
      </c>
      <c r="C92" s="5">
        <f t="shared" si="4"/>
        <v>12</v>
      </c>
      <c r="D92" s="5" t="s">
        <v>11</v>
      </c>
      <c r="E92" s="5" t="str">
        <f>VLOOKUP(D92,Lookup!$A$2:$C$9,2,FALSE())</f>
        <v>Analgesic (salicylic acid)</v>
      </c>
      <c r="F92" s="6">
        <v>111.12</v>
      </c>
      <c r="G92" s="5" t="str">
        <f t="shared" si="5"/>
        <v>No</v>
      </c>
      <c r="H92" t="str">
        <f>INDEX(Lookup!$C$2:$C$9,MATCH(tblSales[[#This Row],[Category Code]],Lookup!$A$2:$A$9,0))</f>
        <v>Nervous system</v>
      </c>
    </row>
    <row r="93" spans="1:8" x14ac:dyDescent="0.25">
      <c r="A93" s="4">
        <v>42004</v>
      </c>
      <c r="B93" s="5">
        <f t="shared" si="3"/>
        <v>2014</v>
      </c>
      <c r="C93" s="5">
        <f t="shared" si="4"/>
        <v>12</v>
      </c>
      <c r="D93" s="5" t="s">
        <v>12</v>
      </c>
      <c r="E93" s="5" t="str">
        <f>VLOOKUP(D93,Lookup!$A$2:$C$9,2,FALSE())</f>
        <v>Analgesic (paracetamol-type)</v>
      </c>
      <c r="F93" s="6">
        <v>1015.66</v>
      </c>
      <c r="G93" s="5" t="str">
        <f t="shared" si="5"/>
        <v>No</v>
      </c>
      <c r="H93" t="str">
        <f>INDEX(Lookup!$C$2:$C$9,MATCH(tblSales[[#This Row],[Category Code]],Lookup!$A$2:$A$9,0))</f>
        <v>Nervous system</v>
      </c>
    </row>
    <row r="94" spans="1:8" x14ac:dyDescent="0.25">
      <c r="A94" s="4">
        <v>42004</v>
      </c>
      <c r="B94" s="5">
        <f t="shared" si="3"/>
        <v>2014</v>
      </c>
      <c r="C94" s="5">
        <f t="shared" si="4"/>
        <v>12</v>
      </c>
      <c r="D94" s="5" t="s">
        <v>13</v>
      </c>
      <c r="E94" s="5" t="str">
        <f>VLOOKUP(D94,Lookup!$A$2:$C$9,2,FALSE())</f>
        <v>Anxiolytics</v>
      </c>
      <c r="F94" s="6">
        <v>492</v>
      </c>
      <c r="G94" s="5" t="str">
        <f t="shared" si="5"/>
        <v>No</v>
      </c>
      <c r="H94" t="str">
        <f>INDEX(Lookup!$C$2:$C$9,MATCH(tblSales[[#This Row],[Category Code]],Lookup!$A$2:$A$9,0))</f>
        <v>Nervous system</v>
      </c>
    </row>
    <row r="95" spans="1:8" x14ac:dyDescent="0.25">
      <c r="A95" s="4">
        <v>42004</v>
      </c>
      <c r="B95" s="5">
        <f t="shared" si="3"/>
        <v>2014</v>
      </c>
      <c r="C95" s="5">
        <f t="shared" si="4"/>
        <v>12</v>
      </c>
      <c r="D95" s="5" t="s">
        <v>14</v>
      </c>
      <c r="E95" s="5" t="str">
        <f>VLOOKUP(D95,Lookup!$A$2:$C$9,2,FALSE())</f>
        <v>Hypnotics &amp; sedatives</v>
      </c>
      <c r="F95" s="6">
        <v>25</v>
      </c>
      <c r="G95" s="5" t="str">
        <f t="shared" si="5"/>
        <v>No</v>
      </c>
      <c r="H95" t="str">
        <f>INDEX(Lookup!$C$2:$C$9,MATCH(tblSales[[#This Row],[Category Code]],Lookup!$A$2:$A$9,0))</f>
        <v>Nervous system</v>
      </c>
    </row>
    <row r="96" spans="1:8" x14ac:dyDescent="0.25">
      <c r="A96" s="4">
        <v>42004</v>
      </c>
      <c r="B96" s="5">
        <f t="shared" si="3"/>
        <v>2014</v>
      </c>
      <c r="C96" s="5">
        <f t="shared" si="4"/>
        <v>12</v>
      </c>
      <c r="D96" s="5" t="s">
        <v>15</v>
      </c>
      <c r="E96" s="5" t="str">
        <f>VLOOKUP(D96,Lookup!$A$2:$C$9,2,FALSE())</f>
        <v>Airway disease drugs</v>
      </c>
      <c r="F96" s="6">
        <v>163</v>
      </c>
      <c r="G96" s="5" t="str">
        <f t="shared" si="5"/>
        <v>No</v>
      </c>
      <c r="H96" t="str">
        <f>INDEX(Lookup!$C$2:$C$9,MATCH(tblSales[[#This Row],[Category Code]],Lookup!$A$2:$A$9,0))</f>
        <v>Respiratory system</v>
      </c>
    </row>
    <row r="97" spans="1:8" x14ac:dyDescent="0.25">
      <c r="A97" s="4">
        <v>42004</v>
      </c>
      <c r="B97" s="5">
        <f t="shared" si="3"/>
        <v>2014</v>
      </c>
      <c r="C97" s="5">
        <f t="shared" si="4"/>
        <v>12</v>
      </c>
      <c r="D97" s="5" t="s">
        <v>16</v>
      </c>
      <c r="E97" s="5" t="str">
        <f>VLOOKUP(D97,Lookup!$A$2:$C$9,2,FALSE())</f>
        <v>Antihistamines</v>
      </c>
      <c r="F97" s="6">
        <v>33.4</v>
      </c>
      <c r="G97" s="5" t="str">
        <f t="shared" si="5"/>
        <v>No</v>
      </c>
      <c r="H97" t="str">
        <f>INDEX(Lookup!$C$2:$C$9,MATCH(tblSales[[#This Row],[Category Code]],Lookup!$A$2:$A$9,0))</f>
        <v>Respiratory system</v>
      </c>
    </row>
    <row r="98" spans="1:8" x14ac:dyDescent="0.25">
      <c r="A98" s="4">
        <v>42035</v>
      </c>
      <c r="B98" s="5">
        <f t="shared" si="3"/>
        <v>2015</v>
      </c>
      <c r="C98" s="5">
        <f t="shared" si="4"/>
        <v>1</v>
      </c>
      <c r="D98" s="5" t="s">
        <v>9</v>
      </c>
      <c r="E98" s="5" t="str">
        <f>VLOOKUP(D98,Lookup!$A$2:$C$9,2,FALSE())</f>
        <v>Anti-inflammatory (acetic acid)</v>
      </c>
      <c r="F98" s="6">
        <v>135.91</v>
      </c>
      <c r="G98" s="5" t="str">
        <f t="shared" si="5"/>
        <v>No</v>
      </c>
      <c r="H98" t="str">
        <f>INDEX(Lookup!$C$2:$C$9,MATCH(tblSales[[#This Row],[Category Code]],Lookup!$A$2:$A$9,0))</f>
        <v>Musculo-skeletal system</v>
      </c>
    </row>
    <row r="99" spans="1:8" x14ac:dyDescent="0.25">
      <c r="A99" s="4">
        <v>42035</v>
      </c>
      <c r="B99" s="5">
        <f t="shared" si="3"/>
        <v>2015</v>
      </c>
      <c r="C99" s="5">
        <f t="shared" si="4"/>
        <v>1</v>
      </c>
      <c r="D99" s="5" t="s">
        <v>10</v>
      </c>
      <c r="E99" s="5" t="str">
        <f>VLOOKUP(D99,Lookup!$A$2:$C$9,2,FALSE())</f>
        <v>Anti-inflammatory (propionic acid)</v>
      </c>
      <c r="F99" s="6">
        <v>130.35</v>
      </c>
      <c r="G99" s="5" t="str">
        <f t="shared" si="5"/>
        <v>No</v>
      </c>
      <c r="H99" t="str">
        <f>INDEX(Lookup!$C$2:$C$9,MATCH(tblSales[[#This Row],[Category Code]],Lookup!$A$2:$A$9,0))</f>
        <v>Musculo-skeletal system</v>
      </c>
    </row>
    <row r="100" spans="1:8" x14ac:dyDescent="0.25">
      <c r="A100" s="4">
        <v>42035</v>
      </c>
      <c r="B100" s="5">
        <f t="shared" si="3"/>
        <v>2015</v>
      </c>
      <c r="C100" s="5">
        <f t="shared" si="4"/>
        <v>1</v>
      </c>
      <c r="D100" s="5" t="s">
        <v>11</v>
      </c>
      <c r="E100" s="5" t="str">
        <f>VLOOKUP(D100,Lookup!$A$2:$C$9,2,FALSE())</f>
        <v>Analgesic (salicylic acid)</v>
      </c>
      <c r="F100" s="6">
        <v>141</v>
      </c>
      <c r="G100" s="5" t="str">
        <f t="shared" si="5"/>
        <v>No</v>
      </c>
      <c r="H100" t="str">
        <f>INDEX(Lookup!$C$2:$C$9,MATCH(tblSales[[#This Row],[Category Code]],Lookup!$A$2:$A$9,0))</f>
        <v>Nervous system</v>
      </c>
    </row>
    <row r="101" spans="1:8" x14ac:dyDescent="0.25">
      <c r="A101" s="4">
        <v>42035</v>
      </c>
      <c r="B101" s="5">
        <f t="shared" si="3"/>
        <v>2015</v>
      </c>
      <c r="C101" s="5">
        <f t="shared" si="4"/>
        <v>1</v>
      </c>
      <c r="D101" s="5" t="s">
        <v>12</v>
      </c>
      <c r="E101" s="5" t="str">
        <f>VLOOKUP(D101,Lookup!$A$2:$C$9,2,FALSE())</f>
        <v>Analgesic (paracetamol-type)</v>
      </c>
      <c r="F101" s="6">
        <v>1044.24</v>
      </c>
      <c r="G101" s="5" t="str">
        <f t="shared" si="5"/>
        <v>No</v>
      </c>
      <c r="H101" t="str">
        <f>INDEX(Lookup!$C$2:$C$9,MATCH(tblSales[[#This Row],[Category Code]],Lookup!$A$2:$A$9,0))</f>
        <v>Nervous system</v>
      </c>
    </row>
    <row r="102" spans="1:8" x14ac:dyDescent="0.25">
      <c r="A102" s="4">
        <v>42035</v>
      </c>
      <c r="B102" s="5">
        <f t="shared" si="3"/>
        <v>2015</v>
      </c>
      <c r="C102" s="5">
        <f t="shared" si="4"/>
        <v>1</v>
      </c>
      <c r="D102" s="5" t="s">
        <v>13</v>
      </c>
      <c r="E102" s="5" t="str">
        <f>VLOOKUP(D102,Lookup!$A$2:$C$9,2,FALSE())</f>
        <v>Anxiolytics</v>
      </c>
      <c r="F102" s="6">
        <v>463</v>
      </c>
      <c r="G102" s="5" t="str">
        <f t="shared" si="5"/>
        <v>No</v>
      </c>
      <c r="H102" t="str">
        <f>INDEX(Lookup!$C$2:$C$9,MATCH(tblSales[[#This Row],[Category Code]],Lookup!$A$2:$A$9,0))</f>
        <v>Nervous system</v>
      </c>
    </row>
    <row r="103" spans="1:8" x14ac:dyDescent="0.25">
      <c r="A103" s="4">
        <v>42035</v>
      </c>
      <c r="B103" s="5">
        <f t="shared" si="3"/>
        <v>2015</v>
      </c>
      <c r="C103" s="5">
        <f t="shared" si="4"/>
        <v>1</v>
      </c>
      <c r="D103" s="5" t="s">
        <v>14</v>
      </c>
      <c r="E103" s="5" t="str">
        <f>VLOOKUP(D103,Lookup!$A$2:$C$9,2,FALSE())</f>
        <v>Hypnotics &amp; sedatives</v>
      </c>
      <c r="F103" s="6">
        <v>24</v>
      </c>
      <c r="G103" s="5" t="str">
        <f t="shared" si="5"/>
        <v>No</v>
      </c>
      <c r="H103" t="str">
        <f>INDEX(Lookup!$C$2:$C$9,MATCH(tblSales[[#This Row],[Category Code]],Lookup!$A$2:$A$9,0))</f>
        <v>Nervous system</v>
      </c>
    </row>
    <row r="104" spans="1:8" x14ac:dyDescent="0.25">
      <c r="A104" s="4">
        <v>42035</v>
      </c>
      <c r="B104" s="5">
        <f t="shared" si="3"/>
        <v>2015</v>
      </c>
      <c r="C104" s="5">
        <f t="shared" si="4"/>
        <v>1</v>
      </c>
      <c r="D104" s="5" t="s">
        <v>15</v>
      </c>
      <c r="E104" s="5" t="str">
        <f>VLOOKUP(D104,Lookup!$A$2:$C$9,2,FALSE())</f>
        <v>Airway disease drugs</v>
      </c>
      <c r="F104" s="6">
        <v>177.25</v>
      </c>
      <c r="G104" s="5" t="str">
        <f t="shared" si="5"/>
        <v>No</v>
      </c>
      <c r="H104" t="str">
        <f>INDEX(Lookup!$C$2:$C$9,MATCH(tblSales[[#This Row],[Category Code]],Lookup!$A$2:$A$9,0))</f>
        <v>Respiratory system</v>
      </c>
    </row>
    <row r="105" spans="1:8" x14ac:dyDescent="0.25">
      <c r="A105" s="4">
        <v>42035</v>
      </c>
      <c r="B105" s="5">
        <f t="shared" si="3"/>
        <v>2015</v>
      </c>
      <c r="C105" s="5">
        <f t="shared" si="4"/>
        <v>1</v>
      </c>
      <c r="D105" s="5" t="s">
        <v>16</v>
      </c>
      <c r="E105" s="5" t="str">
        <f>VLOOKUP(D105,Lookup!$A$2:$C$9,2,FALSE())</f>
        <v>Antihistamines</v>
      </c>
      <c r="F105" s="6">
        <v>42</v>
      </c>
      <c r="G105" s="5" t="str">
        <f t="shared" si="5"/>
        <v>No</v>
      </c>
      <c r="H105" t="str">
        <f>INDEX(Lookup!$C$2:$C$9,MATCH(tblSales[[#This Row],[Category Code]],Lookup!$A$2:$A$9,0))</f>
        <v>Respiratory system</v>
      </c>
    </row>
    <row r="106" spans="1:8" x14ac:dyDescent="0.25">
      <c r="A106" s="4">
        <v>42063</v>
      </c>
      <c r="B106" s="5">
        <f t="shared" si="3"/>
        <v>2015</v>
      </c>
      <c r="C106" s="5">
        <f t="shared" si="4"/>
        <v>2</v>
      </c>
      <c r="D106" s="5" t="s">
        <v>9</v>
      </c>
      <c r="E106" s="5" t="str">
        <f>VLOOKUP(D106,Lookup!$A$2:$C$9,2,FALSE())</f>
        <v>Anti-inflammatory (acetic acid)</v>
      </c>
      <c r="F106" s="6">
        <v>115.71</v>
      </c>
      <c r="G106" s="5" t="str">
        <f t="shared" si="5"/>
        <v>No</v>
      </c>
      <c r="H106" t="str">
        <f>INDEX(Lookup!$C$2:$C$9,MATCH(tblSales[[#This Row],[Category Code]],Lookup!$A$2:$A$9,0))</f>
        <v>Musculo-skeletal system</v>
      </c>
    </row>
    <row r="107" spans="1:8" x14ac:dyDescent="0.25">
      <c r="A107" s="4">
        <v>42063</v>
      </c>
      <c r="B107" s="5">
        <f t="shared" si="3"/>
        <v>2015</v>
      </c>
      <c r="C107" s="5">
        <f t="shared" si="4"/>
        <v>2</v>
      </c>
      <c r="D107" s="5" t="s">
        <v>10</v>
      </c>
      <c r="E107" s="5" t="str">
        <f>VLOOKUP(D107,Lookup!$A$2:$C$9,2,FALSE())</f>
        <v>Anti-inflammatory (propionic acid)</v>
      </c>
      <c r="F107" s="6">
        <v>123.74</v>
      </c>
      <c r="G107" s="5" t="str">
        <f t="shared" si="5"/>
        <v>No</v>
      </c>
      <c r="H107" t="str">
        <f>INDEX(Lookup!$C$2:$C$9,MATCH(tblSales[[#This Row],[Category Code]],Lookup!$A$2:$A$9,0))</f>
        <v>Musculo-skeletal system</v>
      </c>
    </row>
    <row r="108" spans="1:8" x14ac:dyDescent="0.25">
      <c r="A108" s="4">
        <v>42063</v>
      </c>
      <c r="B108" s="5">
        <f t="shared" si="3"/>
        <v>2015</v>
      </c>
      <c r="C108" s="5">
        <f t="shared" si="4"/>
        <v>2</v>
      </c>
      <c r="D108" s="5" t="s">
        <v>11</v>
      </c>
      <c r="E108" s="5" t="str">
        <f>VLOOKUP(D108,Lookup!$A$2:$C$9,2,FALSE())</f>
        <v>Analgesic (salicylic acid)</v>
      </c>
      <c r="F108" s="6">
        <v>131.83000000000001</v>
      </c>
      <c r="G108" s="5" t="str">
        <f t="shared" si="5"/>
        <v>No</v>
      </c>
      <c r="H108" t="str">
        <f>INDEX(Lookup!$C$2:$C$9,MATCH(tblSales[[#This Row],[Category Code]],Lookup!$A$2:$A$9,0))</f>
        <v>Nervous system</v>
      </c>
    </row>
    <row r="109" spans="1:8" x14ac:dyDescent="0.25">
      <c r="A109" s="4">
        <v>42063</v>
      </c>
      <c r="B109" s="5">
        <f t="shared" si="3"/>
        <v>2015</v>
      </c>
      <c r="C109" s="5">
        <f t="shared" si="4"/>
        <v>2</v>
      </c>
      <c r="D109" s="5" t="s">
        <v>12</v>
      </c>
      <c r="E109" s="5" t="str">
        <f>VLOOKUP(D109,Lookup!$A$2:$C$9,2,FALSE())</f>
        <v>Analgesic (paracetamol-type)</v>
      </c>
      <c r="F109" s="6">
        <v>953.25</v>
      </c>
      <c r="G109" s="5" t="str">
        <f t="shared" si="5"/>
        <v>No</v>
      </c>
      <c r="H109" t="str">
        <f>INDEX(Lookup!$C$2:$C$9,MATCH(tblSales[[#This Row],[Category Code]],Lookup!$A$2:$A$9,0))</f>
        <v>Nervous system</v>
      </c>
    </row>
    <row r="110" spans="1:8" x14ac:dyDescent="0.25">
      <c r="A110" s="4">
        <v>42063</v>
      </c>
      <c r="B110" s="5">
        <f t="shared" si="3"/>
        <v>2015</v>
      </c>
      <c r="C110" s="5">
        <f t="shared" si="4"/>
        <v>2</v>
      </c>
      <c r="D110" s="5" t="s">
        <v>13</v>
      </c>
      <c r="E110" s="5" t="str">
        <f>VLOOKUP(D110,Lookup!$A$2:$C$9,2,FALSE())</f>
        <v>Anxiolytics</v>
      </c>
      <c r="F110" s="6">
        <v>243</v>
      </c>
      <c r="G110" s="5" t="str">
        <f t="shared" si="5"/>
        <v>No</v>
      </c>
      <c r="H110" t="str">
        <f>INDEX(Lookup!$C$2:$C$9,MATCH(tblSales[[#This Row],[Category Code]],Lookup!$A$2:$A$9,0))</f>
        <v>Nervous system</v>
      </c>
    </row>
    <row r="111" spans="1:8" x14ac:dyDescent="0.25">
      <c r="A111" s="4">
        <v>42063</v>
      </c>
      <c r="B111" s="5">
        <f t="shared" si="3"/>
        <v>2015</v>
      </c>
      <c r="C111" s="5">
        <f t="shared" si="4"/>
        <v>2</v>
      </c>
      <c r="D111" s="5" t="s">
        <v>14</v>
      </c>
      <c r="E111" s="5" t="str">
        <f>VLOOKUP(D111,Lookup!$A$2:$C$9,2,FALSE())</f>
        <v>Hypnotics &amp; sedatives</v>
      </c>
      <c r="F111" s="6">
        <v>9</v>
      </c>
      <c r="G111" s="5" t="str">
        <f t="shared" si="5"/>
        <v>No</v>
      </c>
      <c r="H111" t="str">
        <f>INDEX(Lookup!$C$2:$C$9,MATCH(tblSales[[#This Row],[Category Code]],Lookup!$A$2:$A$9,0))</f>
        <v>Nervous system</v>
      </c>
    </row>
    <row r="112" spans="1:8" x14ac:dyDescent="0.25">
      <c r="A112" s="4">
        <v>42063</v>
      </c>
      <c r="B112" s="5">
        <f t="shared" si="3"/>
        <v>2015</v>
      </c>
      <c r="C112" s="5">
        <f t="shared" si="4"/>
        <v>2</v>
      </c>
      <c r="D112" s="5" t="s">
        <v>15</v>
      </c>
      <c r="E112" s="5" t="str">
        <f>VLOOKUP(D112,Lookup!$A$2:$C$9,2,FALSE())</f>
        <v>Airway disease drugs</v>
      </c>
      <c r="F112" s="6">
        <v>208</v>
      </c>
      <c r="G112" s="5" t="str">
        <f t="shared" si="5"/>
        <v>No</v>
      </c>
      <c r="H112" t="str">
        <f>INDEX(Lookup!$C$2:$C$9,MATCH(tblSales[[#This Row],[Category Code]],Lookup!$A$2:$A$9,0))</f>
        <v>Respiratory system</v>
      </c>
    </row>
    <row r="113" spans="1:8" x14ac:dyDescent="0.25">
      <c r="A113" s="4">
        <v>42063</v>
      </c>
      <c r="B113" s="5">
        <f t="shared" si="3"/>
        <v>2015</v>
      </c>
      <c r="C113" s="5">
        <f t="shared" si="4"/>
        <v>2</v>
      </c>
      <c r="D113" s="5" t="s">
        <v>16</v>
      </c>
      <c r="E113" s="5" t="str">
        <f>VLOOKUP(D113,Lookup!$A$2:$C$9,2,FALSE())</f>
        <v>Antihistamines</v>
      </c>
      <c r="F113" s="6">
        <v>47</v>
      </c>
      <c r="G113" s="5" t="str">
        <f t="shared" si="5"/>
        <v>No</v>
      </c>
      <c r="H113" t="str">
        <f>INDEX(Lookup!$C$2:$C$9,MATCH(tblSales[[#This Row],[Category Code]],Lookup!$A$2:$A$9,0))</f>
        <v>Respiratory system</v>
      </c>
    </row>
    <row r="114" spans="1:8" x14ac:dyDescent="0.25">
      <c r="A114" s="4">
        <v>42094</v>
      </c>
      <c r="B114" s="5">
        <f t="shared" si="3"/>
        <v>2015</v>
      </c>
      <c r="C114" s="5">
        <f t="shared" si="4"/>
        <v>3</v>
      </c>
      <c r="D114" s="5" t="s">
        <v>9</v>
      </c>
      <c r="E114" s="5" t="str">
        <f>VLOOKUP(D114,Lookup!$A$2:$C$9,2,FALSE())</f>
        <v>Anti-inflammatory (acetic acid)</v>
      </c>
      <c r="F114" s="6">
        <v>156.04</v>
      </c>
      <c r="G114" s="5" t="str">
        <f t="shared" si="5"/>
        <v>No</v>
      </c>
      <c r="H114" t="str">
        <f>INDEX(Lookup!$C$2:$C$9,MATCH(tblSales[[#This Row],[Category Code]],Lookup!$A$2:$A$9,0))</f>
        <v>Musculo-skeletal system</v>
      </c>
    </row>
    <row r="115" spans="1:8" x14ac:dyDescent="0.25">
      <c r="A115" s="4">
        <v>42094</v>
      </c>
      <c r="B115" s="5">
        <f t="shared" si="3"/>
        <v>2015</v>
      </c>
      <c r="C115" s="5">
        <f t="shared" si="4"/>
        <v>3</v>
      </c>
      <c r="D115" s="5" t="s">
        <v>10</v>
      </c>
      <c r="E115" s="5" t="str">
        <f>VLOOKUP(D115,Lookup!$A$2:$C$9,2,FALSE())</f>
        <v>Anti-inflammatory (propionic acid)</v>
      </c>
      <c r="F115" s="6">
        <v>129.38999999999999</v>
      </c>
      <c r="G115" s="5" t="str">
        <f t="shared" si="5"/>
        <v>No</v>
      </c>
      <c r="H115" t="str">
        <f>INDEX(Lookup!$C$2:$C$9,MATCH(tblSales[[#This Row],[Category Code]],Lookup!$A$2:$A$9,0))</f>
        <v>Musculo-skeletal system</v>
      </c>
    </row>
    <row r="116" spans="1:8" x14ac:dyDescent="0.25">
      <c r="A116" s="4">
        <v>42094</v>
      </c>
      <c r="B116" s="5">
        <f t="shared" si="3"/>
        <v>2015</v>
      </c>
      <c r="C116" s="5">
        <f t="shared" si="4"/>
        <v>3</v>
      </c>
      <c r="D116" s="5" t="s">
        <v>11</v>
      </c>
      <c r="E116" s="5" t="str">
        <f>VLOOKUP(D116,Lookup!$A$2:$C$9,2,FALSE())</f>
        <v>Analgesic (salicylic acid)</v>
      </c>
      <c r="F116" s="6">
        <v>133.80000000000001</v>
      </c>
      <c r="G116" s="5" t="str">
        <f t="shared" si="5"/>
        <v>No</v>
      </c>
      <c r="H116" t="str">
        <f>INDEX(Lookup!$C$2:$C$9,MATCH(tblSales[[#This Row],[Category Code]],Lookup!$A$2:$A$9,0))</f>
        <v>Nervous system</v>
      </c>
    </row>
    <row r="117" spans="1:8" x14ac:dyDescent="0.25">
      <c r="A117" s="4">
        <v>42094</v>
      </c>
      <c r="B117" s="5">
        <f t="shared" si="3"/>
        <v>2015</v>
      </c>
      <c r="C117" s="5">
        <f t="shared" si="4"/>
        <v>3</v>
      </c>
      <c r="D117" s="5" t="s">
        <v>12</v>
      </c>
      <c r="E117" s="5" t="str">
        <f>VLOOKUP(D117,Lookup!$A$2:$C$9,2,FALSE())</f>
        <v>Analgesic (paracetamol-type)</v>
      </c>
      <c r="F117" s="6">
        <v>1084.8499999999999</v>
      </c>
      <c r="G117" s="5" t="str">
        <f t="shared" si="5"/>
        <v>No</v>
      </c>
      <c r="H117" t="str">
        <f>INDEX(Lookup!$C$2:$C$9,MATCH(tblSales[[#This Row],[Category Code]],Lookup!$A$2:$A$9,0))</f>
        <v>Nervous system</v>
      </c>
    </row>
    <row r="118" spans="1:8" x14ac:dyDescent="0.25">
      <c r="A118" s="4">
        <v>42094</v>
      </c>
      <c r="B118" s="5">
        <f t="shared" si="3"/>
        <v>2015</v>
      </c>
      <c r="C118" s="5">
        <f t="shared" si="4"/>
        <v>3</v>
      </c>
      <c r="D118" s="5" t="s">
        <v>13</v>
      </c>
      <c r="E118" s="5" t="str">
        <f>VLOOKUP(D118,Lookup!$A$2:$C$9,2,FALSE())</f>
        <v>Anxiolytics</v>
      </c>
      <c r="F118" s="6">
        <v>208</v>
      </c>
      <c r="G118" s="5" t="str">
        <f t="shared" si="5"/>
        <v>No</v>
      </c>
      <c r="H118" t="str">
        <f>INDEX(Lookup!$C$2:$C$9,MATCH(tblSales[[#This Row],[Category Code]],Lookup!$A$2:$A$9,0))</f>
        <v>Nervous system</v>
      </c>
    </row>
    <row r="119" spans="1:8" x14ac:dyDescent="0.25">
      <c r="A119" s="4">
        <v>42094</v>
      </c>
      <c r="B119" s="5">
        <f t="shared" si="3"/>
        <v>2015</v>
      </c>
      <c r="C119" s="5">
        <f t="shared" si="4"/>
        <v>3</v>
      </c>
      <c r="D119" s="5" t="s">
        <v>14</v>
      </c>
      <c r="E119" s="5" t="str">
        <f>VLOOKUP(D119,Lookup!$A$2:$C$9,2,FALSE())</f>
        <v>Hypnotics &amp; sedatives</v>
      </c>
      <c r="F119" s="6">
        <v>13</v>
      </c>
      <c r="G119" s="5" t="str">
        <f t="shared" si="5"/>
        <v>No</v>
      </c>
      <c r="H119" t="str">
        <f>INDEX(Lookup!$C$2:$C$9,MATCH(tblSales[[#This Row],[Category Code]],Lookup!$A$2:$A$9,0))</f>
        <v>Nervous system</v>
      </c>
    </row>
    <row r="120" spans="1:8" x14ac:dyDescent="0.25">
      <c r="A120" s="4">
        <v>42094</v>
      </c>
      <c r="B120" s="5">
        <f t="shared" si="3"/>
        <v>2015</v>
      </c>
      <c r="C120" s="5">
        <f t="shared" si="4"/>
        <v>3</v>
      </c>
      <c r="D120" s="5" t="s">
        <v>15</v>
      </c>
      <c r="E120" s="5" t="str">
        <f>VLOOKUP(D120,Lookup!$A$2:$C$9,2,FALSE())</f>
        <v>Airway disease drugs</v>
      </c>
      <c r="F120" s="6">
        <v>170</v>
      </c>
      <c r="G120" s="5" t="str">
        <f t="shared" si="5"/>
        <v>No</v>
      </c>
      <c r="H120" t="str">
        <f>INDEX(Lookup!$C$2:$C$9,MATCH(tblSales[[#This Row],[Category Code]],Lookup!$A$2:$A$9,0))</f>
        <v>Respiratory system</v>
      </c>
    </row>
    <row r="121" spans="1:8" x14ac:dyDescent="0.25">
      <c r="A121" s="4">
        <v>42094</v>
      </c>
      <c r="B121" s="5">
        <f t="shared" si="3"/>
        <v>2015</v>
      </c>
      <c r="C121" s="5">
        <f t="shared" si="4"/>
        <v>3</v>
      </c>
      <c r="D121" s="5" t="s">
        <v>16</v>
      </c>
      <c r="E121" s="5" t="str">
        <f>VLOOKUP(D121,Lookup!$A$2:$C$9,2,FALSE())</f>
        <v>Antihistamines</v>
      </c>
      <c r="F121" s="6">
        <v>54</v>
      </c>
      <c r="G121" s="5" t="str">
        <f t="shared" si="5"/>
        <v>No</v>
      </c>
      <c r="H121" t="str">
        <f>INDEX(Lookup!$C$2:$C$9,MATCH(tblSales[[#This Row],[Category Code]],Lookup!$A$2:$A$9,0))</f>
        <v>Respiratory system</v>
      </c>
    </row>
    <row r="122" spans="1:8" x14ac:dyDescent="0.25">
      <c r="A122" s="4">
        <v>42124</v>
      </c>
      <c r="B122" s="5">
        <f t="shared" si="3"/>
        <v>2015</v>
      </c>
      <c r="C122" s="5">
        <f t="shared" si="4"/>
        <v>4</v>
      </c>
      <c r="D122" s="5" t="s">
        <v>9</v>
      </c>
      <c r="E122" s="5" t="str">
        <f>VLOOKUP(D122,Lookup!$A$2:$C$9,2,FALSE())</f>
        <v>Anti-inflammatory (acetic acid)</v>
      </c>
      <c r="F122" s="6">
        <v>154.5</v>
      </c>
      <c r="G122" s="5" t="str">
        <f t="shared" si="5"/>
        <v>No</v>
      </c>
      <c r="H122" t="str">
        <f>INDEX(Lookup!$C$2:$C$9,MATCH(tblSales[[#This Row],[Category Code]],Lookup!$A$2:$A$9,0))</f>
        <v>Musculo-skeletal system</v>
      </c>
    </row>
    <row r="123" spans="1:8" x14ac:dyDescent="0.25">
      <c r="A123" s="4">
        <v>42124</v>
      </c>
      <c r="B123" s="5">
        <f t="shared" si="3"/>
        <v>2015</v>
      </c>
      <c r="C123" s="5">
        <f t="shared" si="4"/>
        <v>4</v>
      </c>
      <c r="D123" s="5" t="s">
        <v>10</v>
      </c>
      <c r="E123" s="5" t="str">
        <f>VLOOKUP(D123,Lookup!$A$2:$C$9,2,FALSE())</f>
        <v>Anti-inflammatory (propionic acid)</v>
      </c>
      <c r="F123" s="6">
        <v>101.11</v>
      </c>
      <c r="G123" s="5" t="str">
        <f t="shared" si="5"/>
        <v>No</v>
      </c>
      <c r="H123" t="str">
        <f>INDEX(Lookup!$C$2:$C$9,MATCH(tblSales[[#This Row],[Category Code]],Lookup!$A$2:$A$9,0))</f>
        <v>Musculo-skeletal system</v>
      </c>
    </row>
    <row r="124" spans="1:8" x14ac:dyDescent="0.25">
      <c r="A124" s="4">
        <v>42124</v>
      </c>
      <c r="B124" s="5">
        <f t="shared" si="3"/>
        <v>2015</v>
      </c>
      <c r="C124" s="5">
        <f t="shared" si="4"/>
        <v>4</v>
      </c>
      <c r="D124" s="5" t="s">
        <v>11</v>
      </c>
      <c r="E124" s="5" t="str">
        <f>VLOOKUP(D124,Lookup!$A$2:$C$9,2,FALSE())</f>
        <v>Analgesic (salicylic acid)</v>
      </c>
      <c r="F124" s="6">
        <v>122.1</v>
      </c>
      <c r="G124" s="5" t="str">
        <f t="shared" si="5"/>
        <v>No</v>
      </c>
      <c r="H124" t="str">
        <f>INDEX(Lookup!$C$2:$C$9,MATCH(tblSales[[#This Row],[Category Code]],Lookup!$A$2:$A$9,0))</f>
        <v>Nervous system</v>
      </c>
    </row>
    <row r="125" spans="1:8" x14ac:dyDescent="0.25">
      <c r="A125" s="4">
        <v>42124</v>
      </c>
      <c r="B125" s="5">
        <f t="shared" si="3"/>
        <v>2015</v>
      </c>
      <c r="C125" s="5">
        <f t="shared" si="4"/>
        <v>4</v>
      </c>
      <c r="D125" s="5" t="s">
        <v>12</v>
      </c>
      <c r="E125" s="5" t="str">
        <f>VLOOKUP(D125,Lookup!$A$2:$C$9,2,FALSE())</f>
        <v>Analgesic (paracetamol-type)</v>
      </c>
      <c r="F125" s="6">
        <v>940.17</v>
      </c>
      <c r="G125" s="5" t="str">
        <f t="shared" si="5"/>
        <v>No</v>
      </c>
      <c r="H125" t="str">
        <f>INDEX(Lookup!$C$2:$C$9,MATCH(tblSales[[#This Row],[Category Code]],Lookup!$A$2:$A$9,0))</f>
        <v>Nervous system</v>
      </c>
    </row>
    <row r="126" spans="1:8" x14ac:dyDescent="0.25">
      <c r="A126" s="4">
        <v>42124</v>
      </c>
      <c r="B126" s="5">
        <f t="shared" si="3"/>
        <v>2015</v>
      </c>
      <c r="C126" s="5">
        <f t="shared" si="4"/>
        <v>4</v>
      </c>
      <c r="D126" s="5" t="s">
        <v>13</v>
      </c>
      <c r="E126" s="5" t="str">
        <f>VLOOKUP(D126,Lookup!$A$2:$C$9,2,FALSE())</f>
        <v>Anxiolytics</v>
      </c>
      <c r="F126" s="6">
        <v>192</v>
      </c>
      <c r="G126" s="5" t="str">
        <f t="shared" si="5"/>
        <v>No</v>
      </c>
      <c r="H126" t="str">
        <f>INDEX(Lookup!$C$2:$C$9,MATCH(tblSales[[#This Row],[Category Code]],Lookup!$A$2:$A$9,0))</f>
        <v>Nervous system</v>
      </c>
    </row>
    <row r="127" spans="1:8" x14ac:dyDescent="0.25">
      <c r="A127" s="4">
        <v>42124</v>
      </c>
      <c r="B127" s="5">
        <f t="shared" si="3"/>
        <v>2015</v>
      </c>
      <c r="C127" s="5">
        <f t="shared" si="4"/>
        <v>4</v>
      </c>
      <c r="D127" s="5" t="s">
        <v>14</v>
      </c>
      <c r="E127" s="5" t="str">
        <f>VLOOKUP(D127,Lookup!$A$2:$C$9,2,FALSE())</f>
        <v>Hypnotics &amp; sedatives</v>
      </c>
      <c r="F127" s="6">
        <v>5</v>
      </c>
      <c r="G127" s="5" t="str">
        <f t="shared" si="5"/>
        <v>No</v>
      </c>
      <c r="H127" t="str">
        <f>INDEX(Lookup!$C$2:$C$9,MATCH(tblSales[[#This Row],[Category Code]],Lookup!$A$2:$A$9,0))</f>
        <v>Nervous system</v>
      </c>
    </row>
    <row r="128" spans="1:8" x14ac:dyDescent="0.25">
      <c r="A128" s="4">
        <v>42124</v>
      </c>
      <c r="B128" s="5">
        <f t="shared" si="3"/>
        <v>2015</v>
      </c>
      <c r="C128" s="5">
        <f t="shared" si="4"/>
        <v>4</v>
      </c>
      <c r="D128" s="5" t="s">
        <v>15</v>
      </c>
      <c r="E128" s="5" t="str">
        <f>VLOOKUP(D128,Lookup!$A$2:$C$9,2,FALSE())</f>
        <v>Airway disease drugs</v>
      </c>
      <c r="F128" s="6">
        <v>97</v>
      </c>
      <c r="G128" s="5" t="str">
        <f t="shared" si="5"/>
        <v>No</v>
      </c>
      <c r="H128" t="str">
        <f>INDEX(Lookup!$C$2:$C$9,MATCH(tblSales[[#This Row],[Category Code]],Lookup!$A$2:$A$9,0))</f>
        <v>Respiratory system</v>
      </c>
    </row>
    <row r="129" spans="1:8" x14ac:dyDescent="0.25">
      <c r="A129" s="4">
        <v>42124</v>
      </c>
      <c r="B129" s="5">
        <f t="shared" si="3"/>
        <v>2015</v>
      </c>
      <c r="C129" s="5">
        <f t="shared" si="4"/>
        <v>4</v>
      </c>
      <c r="D129" s="5" t="s">
        <v>16</v>
      </c>
      <c r="E129" s="5" t="str">
        <f>VLOOKUP(D129,Lookup!$A$2:$C$9,2,FALSE())</f>
        <v>Antihistamines</v>
      </c>
      <c r="F129" s="6">
        <v>112</v>
      </c>
      <c r="G129" s="5" t="str">
        <f t="shared" si="5"/>
        <v>No</v>
      </c>
      <c r="H129" t="str">
        <f>INDEX(Lookup!$C$2:$C$9,MATCH(tblSales[[#This Row],[Category Code]],Lookup!$A$2:$A$9,0))</f>
        <v>Respiratory system</v>
      </c>
    </row>
    <row r="130" spans="1:8" x14ac:dyDescent="0.25">
      <c r="A130" s="4">
        <v>42155</v>
      </c>
      <c r="B130" s="5">
        <f t="shared" ref="B130:B193" si="6">YEAR(A130)</f>
        <v>2015</v>
      </c>
      <c r="C130" s="5">
        <f t="shared" ref="C130:C193" si="7">MONTH(A130)</f>
        <v>5</v>
      </c>
      <c r="D130" s="5" t="s">
        <v>9</v>
      </c>
      <c r="E130" s="5" t="str">
        <f>VLOOKUP(D130,Lookup!$A$2:$C$9,2,FALSE())</f>
        <v>Anti-inflammatory (acetic acid)</v>
      </c>
      <c r="F130" s="6">
        <v>160.02000000000001</v>
      </c>
      <c r="G130" s="5" t="str">
        <f t="shared" ref="G130:G193" si="8">IF(A130=DATE(2019,10,31),"Yes","No")</f>
        <v>No</v>
      </c>
      <c r="H130" t="str">
        <f>INDEX(Lookup!$C$2:$C$9,MATCH(tblSales[[#This Row],[Category Code]],Lookup!$A$2:$A$9,0))</f>
        <v>Musculo-skeletal system</v>
      </c>
    </row>
    <row r="131" spans="1:8" x14ac:dyDescent="0.25">
      <c r="A131" s="4">
        <v>42155</v>
      </c>
      <c r="B131" s="5">
        <f t="shared" si="6"/>
        <v>2015</v>
      </c>
      <c r="C131" s="5">
        <f t="shared" si="7"/>
        <v>5</v>
      </c>
      <c r="D131" s="5" t="s">
        <v>10</v>
      </c>
      <c r="E131" s="5" t="str">
        <f>VLOOKUP(D131,Lookup!$A$2:$C$9,2,FALSE())</f>
        <v>Anti-inflammatory (propionic acid)</v>
      </c>
      <c r="F131" s="6">
        <v>119.12</v>
      </c>
      <c r="G131" s="5" t="str">
        <f t="shared" si="8"/>
        <v>No</v>
      </c>
      <c r="H131" t="str">
        <f>INDEX(Lookup!$C$2:$C$9,MATCH(tblSales[[#This Row],[Category Code]],Lookup!$A$2:$A$9,0))</f>
        <v>Musculo-skeletal system</v>
      </c>
    </row>
    <row r="132" spans="1:8" x14ac:dyDescent="0.25">
      <c r="A132" s="4">
        <v>42155</v>
      </c>
      <c r="B132" s="5">
        <f t="shared" si="6"/>
        <v>2015</v>
      </c>
      <c r="C132" s="5">
        <f t="shared" si="7"/>
        <v>5</v>
      </c>
      <c r="D132" s="5" t="s">
        <v>11</v>
      </c>
      <c r="E132" s="5" t="str">
        <f>VLOOKUP(D132,Lookup!$A$2:$C$9,2,FALSE())</f>
        <v>Analgesic (salicylic acid)</v>
      </c>
      <c r="F132" s="6">
        <v>136.04</v>
      </c>
      <c r="G132" s="5" t="str">
        <f t="shared" si="8"/>
        <v>No</v>
      </c>
      <c r="H132" t="str">
        <f>INDEX(Lookup!$C$2:$C$9,MATCH(tblSales[[#This Row],[Category Code]],Lookup!$A$2:$A$9,0))</f>
        <v>Nervous system</v>
      </c>
    </row>
    <row r="133" spans="1:8" x14ac:dyDescent="0.25">
      <c r="A133" s="4">
        <v>42155</v>
      </c>
      <c r="B133" s="5">
        <f t="shared" si="6"/>
        <v>2015</v>
      </c>
      <c r="C133" s="5">
        <f t="shared" si="7"/>
        <v>5</v>
      </c>
      <c r="D133" s="5" t="s">
        <v>12</v>
      </c>
      <c r="E133" s="5" t="str">
        <f>VLOOKUP(D133,Lookup!$A$2:$C$9,2,FALSE())</f>
        <v>Analgesic (paracetamol-type)</v>
      </c>
      <c r="F133" s="6">
        <v>765.9</v>
      </c>
      <c r="G133" s="5" t="str">
        <f t="shared" si="8"/>
        <v>No</v>
      </c>
      <c r="H133" t="str">
        <f>INDEX(Lookup!$C$2:$C$9,MATCH(tblSales[[#This Row],[Category Code]],Lookup!$A$2:$A$9,0))</f>
        <v>Nervous system</v>
      </c>
    </row>
    <row r="134" spans="1:8" x14ac:dyDescent="0.25">
      <c r="A134" s="4">
        <v>42155</v>
      </c>
      <c r="B134" s="5">
        <f t="shared" si="6"/>
        <v>2015</v>
      </c>
      <c r="C134" s="5">
        <f t="shared" si="7"/>
        <v>5</v>
      </c>
      <c r="D134" s="5" t="s">
        <v>13</v>
      </c>
      <c r="E134" s="5" t="str">
        <f>VLOOKUP(D134,Lookup!$A$2:$C$9,2,FALSE())</f>
        <v>Anxiolytics</v>
      </c>
      <c r="F134" s="6">
        <v>194</v>
      </c>
      <c r="G134" s="5" t="str">
        <f t="shared" si="8"/>
        <v>No</v>
      </c>
      <c r="H134" t="str">
        <f>INDEX(Lookup!$C$2:$C$9,MATCH(tblSales[[#This Row],[Category Code]],Lookup!$A$2:$A$9,0))</f>
        <v>Nervous system</v>
      </c>
    </row>
    <row r="135" spans="1:8" x14ac:dyDescent="0.25">
      <c r="A135" s="4">
        <v>42155</v>
      </c>
      <c r="B135" s="5">
        <f t="shared" si="6"/>
        <v>2015</v>
      </c>
      <c r="C135" s="5">
        <f t="shared" si="7"/>
        <v>5</v>
      </c>
      <c r="D135" s="5" t="s">
        <v>14</v>
      </c>
      <c r="E135" s="5" t="str">
        <f>VLOOKUP(D135,Lookup!$A$2:$C$9,2,FALSE())</f>
        <v>Hypnotics &amp; sedatives</v>
      </c>
      <c r="F135" s="6">
        <v>10</v>
      </c>
      <c r="G135" s="5" t="str">
        <f t="shared" si="8"/>
        <v>No</v>
      </c>
      <c r="H135" t="str">
        <f>INDEX(Lookup!$C$2:$C$9,MATCH(tblSales[[#This Row],[Category Code]],Lookup!$A$2:$A$9,0))</f>
        <v>Nervous system</v>
      </c>
    </row>
    <row r="136" spans="1:8" x14ac:dyDescent="0.25">
      <c r="A136" s="4">
        <v>42155</v>
      </c>
      <c r="B136" s="5">
        <f t="shared" si="6"/>
        <v>2015</v>
      </c>
      <c r="C136" s="5">
        <f t="shared" si="7"/>
        <v>5</v>
      </c>
      <c r="D136" s="5" t="s">
        <v>15</v>
      </c>
      <c r="E136" s="5" t="str">
        <f>VLOOKUP(D136,Lookup!$A$2:$C$9,2,FALSE())</f>
        <v>Airway disease drugs</v>
      </c>
      <c r="F136" s="6">
        <v>100</v>
      </c>
      <c r="G136" s="5" t="str">
        <f t="shared" si="8"/>
        <v>No</v>
      </c>
      <c r="H136" t="str">
        <f>INDEX(Lookup!$C$2:$C$9,MATCH(tblSales[[#This Row],[Category Code]],Lookup!$A$2:$A$9,0))</f>
        <v>Respiratory system</v>
      </c>
    </row>
    <row r="137" spans="1:8" x14ac:dyDescent="0.25">
      <c r="A137" s="4">
        <v>42155</v>
      </c>
      <c r="B137" s="5">
        <f t="shared" si="6"/>
        <v>2015</v>
      </c>
      <c r="C137" s="5">
        <f t="shared" si="7"/>
        <v>5</v>
      </c>
      <c r="D137" s="5" t="s">
        <v>16</v>
      </c>
      <c r="E137" s="5" t="str">
        <f>VLOOKUP(D137,Lookup!$A$2:$C$9,2,FALSE())</f>
        <v>Antihistamines</v>
      </c>
      <c r="F137" s="6">
        <v>159.5</v>
      </c>
      <c r="G137" s="5" t="str">
        <f t="shared" si="8"/>
        <v>No</v>
      </c>
      <c r="H137" t="str">
        <f>INDEX(Lookup!$C$2:$C$9,MATCH(tblSales[[#This Row],[Category Code]],Lookup!$A$2:$A$9,0))</f>
        <v>Respiratory system</v>
      </c>
    </row>
    <row r="138" spans="1:8" x14ac:dyDescent="0.25">
      <c r="A138" s="4">
        <v>42185</v>
      </c>
      <c r="B138" s="5">
        <f t="shared" si="6"/>
        <v>2015</v>
      </c>
      <c r="C138" s="5">
        <f t="shared" si="7"/>
        <v>6</v>
      </c>
      <c r="D138" s="5" t="s">
        <v>9</v>
      </c>
      <c r="E138" s="5" t="str">
        <f>VLOOKUP(D138,Lookup!$A$2:$C$9,2,FALSE())</f>
        <v>Anti-inflammatory (acetic acid)</v>
      </c>
      <c r="F138" s="6">
        <v>151.87</v>
      </c>
      <c r="G138" s="5" t="str">
        <f t="shared" si="8"/>
        <v>No</v>
      </c>
      <c r="H138" t="str">
        <f>INDEX(Lookup!$C$2:$C$9,MATCH(tblSales[[#This Row],[Category Code]],Lookup!$A$2:$A$9,0))</f>
        <v>Musculo-skeletal system</v>
      </c>
    </row>
    <row r="139" spans="1:8" x14ac:dyDescent="0.25">
      <c r="A139" s="4">
        <v>42185</v>
      </c>
      <c r="B139" s="5">
        <f t="shared" si="6"/>
        <v>2015</v>
      </c>
      <c r="C139" s="5">
        <f t="shared" si="7"/>
        <v>6</v>
      </c>
      <c r="D139" s="5" t="s">
        <v>10</v>
      </c>
      <c r="E139" s="5" t="str">
        <f>VLOOKUP(D139,Lookup!$A$2:$C$9,2,FALSE())</f>
        <v>Anti-inflammatory (propionic acid)</v>
      </c>
      <c r="F139" s="6">
        <v>113.69</v>
      </c>
      <c r="G139" s="5" t="str">
        <f t="shared" si="8"/>
        <v>No</v>
      </c>
      <c r="H139" t="str">
        <f>INDEX(Lookup!$C$2:$C$9,MATCH(tblSales[[#This Row],[Category Code]],Lookup!$A$2:$A$9,0))</f>
        <v>Musculo-skeletal system</v>
      </c>
    </row>
    <row r="140" spans="1:8" x14ac:dyDescent="0.25">
      <c r="A140" s="4">
        <v>42185</v>
      </c>
      <c r="B140" s="5">
        <f t="shared" si="6"/>
        <v>2015</v>
      </c>
      <c r="C140" s="5">
        <f t="shared" si="7"/>
        <v>6</v>
      </c>
      <c r="D140" s="5" t="s">
        <v>11</v>
      </c>
      <c r="E140" s="5" t="str">
        <f>VLOOKUP(D140,Lookup!$A$2:$C$9,2,FALSE())</f>
        <v>Analgesic (salicylic acid)</v>
      </c>
      <c r="F140" s="6">
        <v>145.46</v>
      </c>
      <c r="G140" s="5" t="str">
        <f t="shared" si="8"/>
        <v>No</v>
      </c>
      <c r="H140" t="str">
        <f>INDEX(Lookup!$C$2:$C$9,MATCH(tblSales[[#This Row],[Category Code]],Lookup!$A$2:$A$9,0))</f>
        <v>Nervous system</v>
      </c>
    </row>
    <row r="141" spans="1:8" x14ac:dyDescent="0.25">
      <c r="A141" s="4">
        <v>42185</v>
      </c>
      <c r="B141" s="5">
        <f t="shared" si="6"/>
        <v>2015</v>
      </c>
      <c r="C141" s="5">
        <f t="shared" si="7"/>
        <v>6</v>
      </c>
      <c r="D141" s="5" t="s">
        <v>12</v>
      </c>
      <c r="E141" s="5" t="str">
        <f>VLOOKUP(D141,Lookup!$A$2:$C$9,2,FALSE())</f>
        <v>Analgesic (paracetamol-type)</v>
      </c>
      <c r="F141" s="6">
        <v>715.41</v>
      </c>
      <c r="G141" s="5" t="str">
        <f t="shared" si="8"/>
        <v>No</v>
      </c>
      <c r="H141" t="str">
        <f>INDEX(Lookup!$C$2:$C$9,MATCH(tblSales[[#This Row],[Category Code]],Lookup!$A$2:$A$9,0))</f>
        <v>Nervous system</v>
      </c>
    </row>
    <row r="142" spans="1:8" x14ac:dyDescent="0.25">
      <c r="A142" s="4">
        <v>42185</v>
      </c>
      <c r="B142" s="5">
        <f t="shared" si="6"/>
        <v>2015</v>
      </c>
      <c r="C142" s="5">
        <f t="shared" si="7"/>
        <v>6</v>
      </c>
      <c r="D142" s="5" t="s">
        <v>13</v>
      </c>
      <c r="E142" s="5" t="str">
        <f>VLOOKUP(D142,Lookup!$A$2:$C$9,2,FALSE())</f>
        <v>Anxiolytics</v>
      </c>
      <c r="F142" s="6">
        <v>217</v>
      </c>
      <c r="G142" s="5" t="str">
        <f t="shared" si="8"/>
        <v>No</v>
      </c>
      <c r="H142" t="str">
        <f>INDEX(Lookup!$C$2:$C$9,MATCH(tblSales[[#This Row],[Category Code]],Lookup!$A$2:$A$9,0))</f>
        <v>Nervous system</v>
      </c>
    </row>
    <row r="143" spans="1:8" x14ac:dyDescent="0.25">
      <c r="A143" s="4">
        <v>42185</v>
      </c>
      <c r="B143" s="5">
        <f t="shared" si="6"/>
        <v>2015</v>
      </c>
      <c r="C143" s="5">
        <f t="shared" si="7"/>
        <v>6</v>
      </c>
      <c r="D143" s="5" t="s">
        <v>14</v>
      </c>
      <c r="E143" s="5" t="str">
        <f>VLOOKUP(D143,Lookup!$A$2:$C$9,2,FALSE())</f>
        <v>Hypnotics &amp; sedatives</v>
      </c>
      <c r="F143" s="6">
        <v>12</v>
      </c>
      <c r="G143" s="5" t="str">
        <f t="shared" si="8"/>
        <v>No</v>
      </c>
      <c r="H143" t="str">
        <f>INDEX(Lookup!$C$2:$C$9,MATCH(tblSales[[#This Row],[Category Code]],Lookup!$A$2:$A$9,0))</f>
        <v>Nervous system</v>
      </c>
    </row>
    <row r="144" spans="1:8" x14ac:dyDescent="0.25">
      <c r="A144" s="4">
        <v>42185</v>
      </c>
      <c r="B144" s="5">
        <f t="shared" si="6"/>
        <v>2015</v>
      </c>
      <c r="C144" s="5">
        <f t="shared" si="7"/>
        <v>6</v>
      </c>
      <c r="D144" s="5" t="s">
        <v>15</v>
      </c>
      <c r="E144" s="5" t="str">
        <f>VLOOKUP(D144,Lookup!$A$2:$C$9,2,FALSE())</f>
        <v>Airway disease drugs</v>
      </c>
      <c r="F144" s="6">
        <v>193</v>
      </c>
      <c r="G144" s="5" t="str">
        <f t="shared" si="8"/>
        <v>No</v>
      </c>
      <c r="H144" t="str">
        <f>INDEX(Lookup!$C$2:$C$9,MATCH(tblSales[[#This Row],[Category Code]],Lookup!$A$2:$A$9,0))</f>
        <v>Respiratory system</v>
      </c>
    </row>
    <row r="145" spans="1:8" x14ac:dyDescent="0.25">
      <c r="A145" s="4">
        <v>42185</v>
      </c>
      <c r="B145" s="5">
        <f t="shared" si="6"/>
        <v>2015</v>
      </c>
      <c r="C145" s="5">
        <f t="shared" si="7"/>
        <v>6</v>
      </c>
      <c r="D145" s="5" t="s">
        <v>16</v>
      </c>
      <c r="E145" s="5" t="str">
        <f>VLOOKUP(D145,Lookup!$A$2:$C$9,2,FALSE())</f>
        <v>Antihistamines</v>
      </c>
      <c r="F145" s="6">
        <v>125.8</v>
      </c>
      <c r="G145" s="5" t="str">
        <f t="shared" si="8"/>
        <v>No</v>
      </c>
      <c r="H145" t="str">
        <f>INDEX(Lookup!$C$2:$C$9,MATCH(tblSales[[#This Row],[Category Code]],Lookup!$A$2:$A$9,0))</f>
        <v>Respiratory system</v>
      </c>
    </row>
    <row r="146" spans="1:8" x14ac:dyDescent="0.25">
      <c r="A146" s="4">
        <v>42216</v>
      </c>
      <c r="B146" s="5">
        <f t="shared" si="6"/>
        <v>2015</v>
      </c>
      <c r="C146" s="5">
        <f t="shared" si="7"/>
        <v>7</v>
      </c>
      <c r="D146" s="5" t="s">
        <v>9</v>
      </c>
      <c r="E146" s="5" t="str">
        <f>VLOOKUP(D146,Lookup!$A$2:$C$9,2,FALSE())</f>
        <v>Anti-inflammatory (acetic acid)</v>
      </c>
      <c r="F146" s="6">
        <v>175.61</v>
      </c>
      <c r="G146" s="5" t="str">
        <f t="shared" si="8"/>
        <v>No</v>
      </c>
      <c r="H146" t="str">
        <f>INDEX(Lookup!$C$2:$C$9,MATCH(tblSales[[#This Row],[Category Code]],Lookup!$A$2:$A$9,0))</f>
        <v>Musculo-skeletal system</v>
      </c>
    </row>
    <row r="147" spans="1:8" x14ac:dyDescent="0.25">
      <c r="A147" s="4">
        <v>42216</v>
      </c>
      <c r="B147" s="5">
        <f t="shared" si="6"/>
        <v>2015</v>
      </c>
      <c r="C147" s="5">
        <f t="shared" si="7"/>
        <v>7</v>
      </c>
      <c r="D147" s="5" t="s">
        <v>10</v>
      </c>
      <c r="E147" s="5" t="str">
        <f>VLOOKUP(D147,Lookup!$A$2:$C$9,2,FALSE())</f>
        <v>Anti-inflammatory (propionic acid)</v>
      </c>
      <c r="F147" s="6">
        <v>113.81</v>
      </c>
      <c r="G147" s="5" t="str">
        <f t="shared" si="8"/>
        <v>No</v>
      </c>
      <c r="H147" t="str">
        <f>INDEX(Lookup!$C$2:$C$9,MATCH(tblSales[[#This Row],[Category Code]],Lookup!$A$2:$A$9,0))</f>
        <v>Musculo-skeletal system</v>
      </c>
    </row>
    <row r="148" spans="1:8" x14ac:dyDescent="0.25">
      <c r="A148" s="4">
        <v>42216</v>
      </c>
      <c r="B148" s="5">
        <f t="shared" si="6"/>
        <v>2015</v>
      </c>
      <c r="C148" s="5">
        <f t="shared" si="7"/>
        <v>7</v>
      </c>
      <c r="D148" s="5" t="s">
        <v>11</v>
      </c>
      <c r="E148" s="5" t="str">
        <f>VLOOKUP(D148,Lookup!$A$2:$C$9,2,FALSE())</f>
        <v>Analgesic (salicylic acid)</v>
      </c>
      <c r="F148" s="6">
        <v>125.5</v>
      </c>
      <c r="G148" s="5" t="str">
        <f t="shared" si="8"/>
        <v>No</v>
      </c>
      <c r="H148" t="str">
        <f>INDEX(Lookup!$C$2:$C$9,MATCH(tblSales[[#This Row],[Category Code]],Lookup!$A$2:$A$9,0))</f>
        <v>Nervous system</v>
      </c>
    </row>
    <row r="149" spans="1:8" x14ac:dyDescent="0.25">
      <c r="A149" s="4">
        <v>42216</v>
      </c>
      <c r="B149" s="5">
        <f t="shared" si="6"/>
        <v>2015</v>
      </c>
      <c r="C149" s="5">
        <f t="shared" si="7"/>
        <v>7</v>
      </c>
      <c r="D149" s="5" t="s">
        <v>12</v>
      </c>
      <c r="E149" s="5" t="str">
        <f>VLOOKUP(D149,Lookup!$A$2:$C$9,2,FALSE())</f>
        <v>Analgesic (paracetamol-type)</v>
      </c>
      <c r="F149" s="6">
        <v>708.83</v>
      </c>
      <c r="G149" s="5" t="str">
        <f t="shared" si="8"/>
        <v>No</v>
      </c>
      <c r="H149" t="str">
        <f>INDEX(Lookup!$C$2:$C$9,MATCH(tblSales[[#This Row],[Category Code]],Lookup!$A$2:$A$9,0))</f>
        <v>Nervous system</v>
      </c>
    </row>
    <row r="150" spans="1:8" x14ac:dyDescent="0.25">
      <c r="A150" s="4">
        <v>42216</v>
      </c>
      <c r="B150" s="5">
        <f t="shared" si="6"/>
        <v>2015</v>
      </c>
      <c r="C150" s="5">
        <f t="shared" si="7"/>
        <v>7</v>
      </c>
      <c r="D150" s="5" t="s">
        <v>13</v>
      </c>
      <c r="E150" s="5" t="str">
        <f>VLOOKUP(D150,Lookup!$A$2:$C$9,2,FALSE())</f>
        <v>Anxiolytics</v>
      </c>
      <c r="F150" s="6">
        <v>203</v>
      </c>
      <c r="G150" s="5" t="str">
        <f t="shared" si="8"/>
        <v>No</v>
      </c>
      <c r="H150" t="str">
        <f>INDEX(Lookup!$C$2:$C$9,MATCH(tblSales[[#This Row],[Category Code]],Lookup!$A$2:$A$9,0))</f>
        <v>Nervous system</v>
      </c>
    </row>
    <row r="151" spans="1:8" x14ac:dyDescent="0.25">
      <c r="A151" s="4">
        <v>42216</v>
      </c>
      <c r="B151" s="5">
        <f t="shared" si="6"/>
        <v>2015</v>
      </c>
      <c r="C151" s="5">
        <f t="shared" si="7"/>
        <v>7</v>
      </c>
      <c r="D151" s="5" t="s">
        <v>14</v>
      </c>
      <c r="E151" s="5" t="str">
        <f>VLOOKUP(D151,Lookup!$A$2:$C$9,2,FALSE())</f>
        <v>Hypnotics &amp; sedatives</v>
      </c>
      <c r="F151" s="6">
        <v>6</v>
      </c>
      <c r="G151" s="5" t="str">
        <f t="shared" si="8"/>
        <v>No</v>
      </c>
      <c r="H151" t="str">
        <f>INDEX(Lookup!$C$2:$C$9,MATCH(tblSales[[#This Row],[Category Code]],Lookup!$A$2:$A$9,0))</f>
        <v>Nervous system</v>
      </c>
    </row>
    <row r="152" spans="1:8" x14ac:dyDescent="0.25">
      <c r="A152" s="4">
        <v>42216</v>
      </c>
      <c r="B152" s="5">
        <f t="shared" si="6"/>
        <v>2015</v>
      </c>
      <c r="C152" s="5">
        <f t="shared" si="7"/>
        <v>7</v>
      </c>
      <c r="D152" s="5" t="s">
        <v>15</v>
      </c>
      <c r="E152" s="5" t="str">
        <f>VLOOKUP(D152,Lookup!$A$2:$C$9,2,FALSE())</f>
        <v>Airway disease drugs</v>
      </c>
      <c r="F152" s="6">
        <v>60</v>
      </c>
      <c r="G152" s="5" t="str">
        <f t="shared" si="8"/>
        <v>No</v>
      </c>
      <c r="H152" t="str">
        <f>INDEX(Lookup!$C$2:$C$9,MATCH(tblSales[[#This Row],[Category Code]],Lookup!$A$2:$A$9,0))</f>
        <v>Respiratory system</v>
      </c>
    </row>
    <row r="153" spans="1:8" x14ac:dyDescent="0.25">
      <c r="A153" s="4">
        <v>42216</v>
      </c>
      <c r="B153" s="5">
        <f t="shared" si="6"/>
        <v>2015</v>
      </c>
      <c r="C153" s="5">
        <f t="shared" si="7"/>
        <v>7</v>
      </c>
      <c r="D153" s="5" t="s">
        <v>16</v>
      </c>
      <c r="E153" s="5" t="str">
        <f>VLOOKUP(D153,Lookup!$A$2:$C$9,2,FALSE())</f>
        <v>Antihistamines</v>
      </c>
      <c r="F153" s="6">
        <v>130.30000000000001</v>
      </c>
      <c r="G153" s="5" t="str">
        <f t="shared" si="8"/>
        <v>No</v>
      </c>
      <c r="H153" t="str">
        <f>INDEX(Lookup!$C$2:$C$9,MATCH(tblSales[[#This Row],[Category Code]],Lookup!$A$2:$A$9,0))</f>
        <v>Respiratory system</v>
      </c>
    </row>
    <row r="154" spans="1:8" x14ac:dyDescent="0.25">
      <c r="A154" s="4">
        <v>42247</v>
      </c>
      <c r="B154" s="5">
        <f t="shared" si="6"/>
        <v>2015</v>
      </c>
      <c r="C154" s="5">
        <f t="shared" si="7"/>
        <v>8</v>
      </c>
      <c r="D154" s="5" t="s">
        <v>9</v>
      </c>
      <c r="E154" s="5" t="str">
        <f>VLOOKUP(D154,Lookup!$A$2:$C$9,2,FALSE())</f>
        <v>Anti-inflammatory (acetic acid)</v>
      </c>
      <c r="F154" s="6">
        <v>181.69</v>
      </c>
      <c r="G154" s="5" t="str">
        <f t="shared" si="8"/>
        <v>No</v>
      </c>
      <c r="H154" t="str">
        <f>INDEX(Lookup!$C$2:$C$9,MATCH(tblSales[[#This Row],[Category Code]],Lookup!$A$2:$A$9,0))</f>
        <v>Musculo-skeletal system</v>
      </c>
    </row>
    <row r="155" spans="1:8" x14ac:dyDescent="0.25">
      <c r="A155" s="4">
        <v>42247</v>
      </c>
      <c r="B155" s="5">
        <f t="shared" si="6"/>
        <v>2015</v>
      </c>
      <c r="C155" s="5">
        <f t="shared" si="7"/>
        <v>8</v>
      </c>
      <c r="D155" s="5" t="s">
        <v>10</v>
      </c>
      <c r="E155" s="5" t="str">
        <f>VLOOKUP(D155,Lookup!$A$2:$C$9,2,FALSE())</f>
        <v>Anti-inflammatory (propionic acid)</v>
      </c>
      <c r="F155" s="6">
        <v>144.52000000000001</v>
      </c>
      <c r="G155" s="5" t="str">
        <f t="shared" si="8"/>
        <v>No</v>
      </c>
      <c r="H155" t="str">
        <f>INDEX(Lookup!$C$2:$C$9,MATCH(tblSales[[#This Row],[Category Code]],Lookup!$A$2:$A$9,0))</f>
        <v>Musculo-skeletal system</v>
      </c>
    </row>
    <row r="156" spans="1:8" x14ac:dyDescent="0.25">
      <c r="A156" s="4">
        <v>42247</v>
      </c>
      <c r="B156" s="5">
        <f t="shared" si="6"/>
        <v>2015</v>
      </c>
      <c r="C156" s="5">
        <f t="shared" si="7"/>
        <v>8</v>
      </c>
      <c r="D156" s="5" t="s">
        <v>11</v>
      </c>
      <c r="E156" s="5" t="str">
        <f>VLOOKUP(D156,Lookup!$A$2:$C$9,2,FALSE())</f>
        <v>Analgesic (salicylic acid)</v>
      </c>
      <c r="F156" s="6">
        <v>133.4</v>
      </c>
      <c r="G156" s="5" t="str">
        <f t="shared" si="8"/>
        <v>No</v>
      </c>
      <c r="H156" t="str">
        <f>INDEX(Lookup!$C$2:$C$9,MATCH(tblSales[[#This Row],[Category Code]],Lookup!$A$2:$A$9,0))</f>
        <v>Nervous system</v>
      </c>
    </row>
    <row r="157" spans="1:8" x14ac:dyDescent="0.25">
      <c r="A157" s="4">
        <v>42247</v>
      </c>
      <c r="B157" s="5">
        <f t="shared" si="6"/>
        <v>2015</v>
      </c>
      <c r="C157" s="5">
        <f t="shared" si="7"/>
        <v>8</v>
      </c>
      <c r="D157" s="5" t="s">
        <v>12</v>
      </c>
      <c r="E157" s="5" t="str">
        <f>VLOOKUP(D157,Lookup!$A$2:$C$9,2,FALSE())</f>
        <v>Analgesic (paracetamol-type)</v>
      </c>
      <c r="F157" s="6">
        <v>790.79</v>
      </c>
      <c r="G157" s="5" t="str">
        <f t="shared" si="8"/>
        <v>No</v>
      </c>
      <c r="H157" t="str">
        <f>INDEX(Lookup!$C$2:$C$9,MATCH(tblSales[[#This Row],[Category Code]],Lookup!$A$2:$A$9,0))</f>
        <v>Nervous system</v>
      </c>
    </row>
    <row r="158" spans="1:8" x14ac:dyDescent="0.25">
      <c r="A158" s="4">
        <v>42247</v>
      </c>
      <c r="B158" s="5">
        <f t="shared" si="6"/>
        <v>2015</v>
      </c>
      <c r="C158" s="5">
        <f t="shared" si="7"/>
        <v>8</v>
      </c>
      <c r="D158" s="5" t="s">
        <v>13</v>
      </c>
      <c r="E158" s="5" t="str">
        <f>VLOOKUP(D158,Lookup!$A$2:$C$9,2,FALSE())</f>
        <v>Anxiolytics</v>
      </c>
      <c r="F158" s="6">
        <v>265.5</v>
      </c>
      <c r="G158" s="5" t="str">
        <f t="shared" si="8"/>
        <v>No</v>
      </c>
      <c r="H158" t="str">
        <f>INDEX(Lookup!$C$2:$C$9,MATCH(tblSales[[#This Row],[Category Code]],Lookup!$A$2:$A$9,0))</f>
        <v>Nervous system</v>
      </c>
    </row>
    <row r="159" spans="1:8" x14ac:dyDescent="0.25">
      <c r="A159" s="4">
        <v>42247</v>
      </c>
      <c r="B159" s="5">
        <f t="shared" si="6"/>
        <v>2015</v>
      </c>
      <c r="C159" s="5">
        <f t="shared" si="7"/>
        <v>8</v>
      </c>
      <c r="D159" s="5" t="s">
        <v>14</v>
      </c>
      <c r="E159" s="5" t="str">
        <f>VLOOKUP(D159,Lookup!$A$2:$C$9,2,FALSE())</f>
        <v>Hypnotics &amp; sedatives</v>
      </c>
      <c r="F159" s="6">
        <v>15</v>
      </c>
      <c r="G159" s="5" t="str">
        <f t="shared" si="8"/>
        <v>No</v>
      </c>
      <c r="H159" t="str">
        <f>INDEX(Lookup!$C$2:$C$9,MATCH(tblSales[[#This Row],[Category Code]],Lookup!$A$2:$A$9,0))</f>
        <v>Nervous system</v>
      </c>
    </row>
    <row r="160" spans="1:8" x14ac:dyDescent="0.25">
      <c r="A160" s="4">
        <v>42247</v>
      </c>
      <c r="B160" s="5">
        <f t="shared" si="6"/>
        <v>2015</v>
      </c>
      <c r="C160" s="5">
        <f t="shared" si="7"/>
        <v>8</v>
      </c>
      <c r="D160" s="5" t="s">
        <v>15</v>
      </c>
      <c r="E160" s="5" t="str">
        <f>VLOOKUP(D160,Lookup!$A$2:$C$9,2,FALSE())</f>
        <v>Airway disease drugs</v>
      </c>
      <c r="F160" s="6">
        <v>45</v>
      </c>
      <c r="G160" s="5" t="str">
        <f t="shared" si="8"/>
        <v>No</v>
      </c>
      <c r="H160" t="str">
        <f>INDEX(Lookup!$C$2:$C$9,MATCH(tblSales[[#This Row],[Category Code]],Lookup!$A$2:$A$9,0))</f>
        <v>Respiratory system</v>
      </c>
    </row>
    <row r="161" spans="1:8" x14ac:dyDescent="0.25">
      <c r="A161" s="4">
        <v>42247</v>
      </c>
      <c r="B161" s="5">
        <f t="shared" si="6"/>
        <v>2015</v>
      </c>
      <c r="C161" s="5">
        <f t="shared" si="7"/>
        <v>8</v>
      </c>
      <c r="D161" s="5" t="s">
        <v>16</v>
      </c>
      <c r="E161" s="5" t="str">
        <f>VLOOKUP(D161,Lookup!$A$2:$C$9,2,FALSE())</f>
        <v>Antihistamines</v>
      </c>
      <c r="F161" s="6">
        <v>83.7</v>
      </c>
      <c r="G161" s="5" t="str">
        <f t="shared" si="8"/>
        <v>No</v>
      </c>
      <c r="H161" t="str">
        <f>INDEX(Lookup!$C$2:$C$9,MATCH(tblSales[[#This Row],[Category Code]],Lookup!$A$2:$A$9,0))</f>
        <v>Respiratory system</v>
      </c>
    </row>
    <row r="162" spans="1:8" x14ac:dyDescent="0.25">
      <c r="A162" s="4">
        <v>42277</v>
      </c>
      <c r="B162" s="5">
        <f t="shared" si="6"/>
        <v>2015</v>
      </c>
      <c r="C162" s="5">
        <f t="shared" si="7"/>
        <v>9</v>
      </c>
      <c r="D162" s="5" t="s">
        <v>9</v>
      </c>
      <c r="E162" s="5" t="str">
        <f>VLOOKUP(D162,Lookup!$A$2:$C$9,2,FALSE())</f>
        <v>Anti-inflammatory (acetic acid)</v>
      </c>
      <c r="F162" s="6">
        <v>166.22</v>
      </c>
      <c r="G162" s="5" t="str">
        <f t="shared" si="8"/>
        <v>No</v>
      </c>
      <c r="H162" t="str">
        <f>INDEX(Lookup!$C$2:$C$9,MATCH(tblSales[[#This Row],[Category Code]],Lookup!$A$2:$A$9,0))</f>
        <v>Musculo-skeletal system</v>
      </c>
    </row>
    <row r="163" spans="1:8" x14ac:dyDescent="0.25">
      <c r="A163" s="4">
        <v>42277</v>
      </c>
      <c r="B163" s="5">
        <f t="shared" si="6"/>
        <v>2015</v>
      </c>
      <c r="C163" s="5">
        <f t="shared" si="7"/>
        <v>9</v>
      </c>
      <c r="D163" s="5" t="s">
        <v>10</v>
      </c>
      <c r="E163" s="5" t="str">
        <f>VLOOKUP(D163,Lookup!$A$2:$C$9,2,FALSE())</f>
        <v>Anti-inflammatory (propionic acid)</v>
      </c>
      <c r="F163" s="6">
        <v>134.12</v>
      </c>
      <c r="G163" s="5" t="str">
        <f t="shared" si="8"/>
        <v>No</v>
      </c>
      <c r="H163" t="str">
        <f>INDEX(Lookup!$C$2:$C$9,MATCH(tblSales[[#This Row],[Category Code]],Lookup!$A$2:$A$9,0))</f>
        <v>Musculo-skeletal system</v>
      </c>
    </row>
    <row r="164" spans="1:8" x14ac:dyDescent="0.25">
      <c r="A164" s="4">
        <v>42277</v>
      </c>
      <c r="B164" s="5">
        <f t="shared" si="6"/>
        <v>2015</v>
      </c>
      <c r="C164" s="5">
        <f t="shared" si="7"/>
        <v>9</v>
      </c>
      <c r="D164" s="5" t="s">
        <v>11</v>
      </c>
      <c r="E164" s="5" t="str">
        <f>VLOOKUP(D164,Lookup!$A$2:$C$9,2,FALSE())</f>
        <v>Analgesic (salicylic acid)</v>
      </c>
      <c r="F164" s="6">
        <v>110.4</v>
      </c>
      <c r="G164" s="5" t="str">
        <f t="shared" si="8"/>
        <v>No</v>
      </c>
      <c r="H164" t="str">
        <f>INDEX(Lookup!$C$2:$C$9,MATCH(tblSales[[#This Row],[Category Code]],Lookup!$A$2:$A$9,0))</f>
        <v>Nervous system</v>
      </c>
    </row>
    <row r="165" spans="1:8" x14ac:dyDescent="0.25">
      <c r="A165" s="4">
        <v>42277</v>
      </c>
      <c r="B165" s="5">
        <f t="shared" si="6"/>
        <v>2015</v>
      </c>
      <c r="C165" s="5">
        <f t="shared" si="7"/>
        <v>9</v>
      </c>
      <c r="D165" s="5" t="s">
        <v>12</v>
      </c>
      <c r="E165" s="5" t="str">
        <f>VLOOKUP(D165,Lookup!$A$2:$C$9,2,FALSE())</f>
        <v>Analgesic (paracetamol-type)</v>
      </c>
      <c r="F165" s="6">
        <v>852.12</v>
      </c>
      <c r="G165" s="5" t="str">
        <f t="shared" si="8"/>
        <v>No</v>
      </c>
      <c r="H165" t="str">
        <f>INDEX(Lookup!$C$2:$C$9,MATCH(tblSales[[#This Row],[Category Code]],Lookup!$A$2:$A$9,0))</f>
        <v>Nervous system</v>
      </c>
    </row>
    <row r="166" spans="1:8" x14ac:dyDescent="0.25">
      <c r="A166" s="4">
        <v>42277</v>
      </c>
      <c r="B166" s="5">
        <f t="shared" si="6"/>
        <v>2015</v>
      </c>
      <c r="C166" s="5">
        <f t="shared" si="7"/>
        <v>9</v>
      </c>
      <c r="D166" s="5" t="s">
        <v>13</v>
      </c>
      <c r="E166" s="5" t="str">
        <f>VLOOKUP(D166,Lookup!$A$2:$C$9,2,FALSE())</f>
        <v>Anxiolytics</v>
      </c>
      <c r="F166" s="6">
        <v>243.5</v>
      </c>
      <c r="G166" s="5" t="str">
        <f t="shared" si="8"/>
        <v>No</v>
      </c>
      <c r="H166" t="str">
        <f>INDEX(Lookup!$C$2:$C$9,MATCH(tblSales[[#This Row],[Category Code]],Lookup!$A$2:$A$9,0))</f>
        <v>Nervous system</v>
      </c>
    </row>
    <row r="167" spans="1:8" x14ac:dyDescent="0.25">
      <c r="A167" s="4">
        <v>42277</v>
      </c>
      <c r="B167" s="5">
        <f t="shared" si="6"/>
        <v>2015</v>
      </c>
      <c r="C167" s="5">
        <f t="shared" si="7"/>
        <v>9</v>
      </c>
      <c r="D167" s="5" t="s">
        <v>14</v>
      </c>
      <c r="E167" s="5" t="str">
        <f>VLOOKUP(D167,Lookup!$A$2:$C$9,2,FALSE())</f>
        <v>Hypnotics &amp; sedatives</v>
      </c>
      <c r="F167" s="6">
        <v>11</v>
      </c>
      <c r="G167" s="5" t="str">
        <f t="shared" si="8"/>
        <v>No</v>
      </c>
      <c r="H167" t="str">
        <f>INDEX(Lookup!$C$2:$C$9,MATCH(tblSales[[#This Row],[Category Code]],Lookup!$A$2:$A$9,0))</f>
        <v>Nervous system</v>
      </c>
    </row>
    <row r="168" spans="1:8" x14ac:dyDescent="0.25">
      <c r="A168" s="4">
        <v>42277</v>
      </c>
      <c r="B168" s="5">
        <f t="shared" si="6"/>
        <v>2015</v>
      </c>
      <c r="C168" s="5">
        <f t="shared" si="7"/>
        <v>9</v>
      </c>
      <c r="D168" s="5" t="s">
        <v>15</v>
      </c>
      <c r="E168" s="5" t="str">
        <f>VLOOKUP(D168,Lookup!$A$2:$C$9,2,FALSE())</f>
        <v>Airway disease drugs</v>
      </c>
      <c r="F168" s="6">
        <v>91</v>
      </c>
      <c r="G168" s="5" t="str">
        <f t="shared" si="8"/>
        <v>No</v>
      </c>
      <c r="H168" t="str">
        <f>INDEX(Lookup!$C$2:$C$9,MATCH(tblSales[[#This Row],[Category Code]],Lookup!$A$2:$A$9,0))</f>
        <v>Respiratory system</v>
      </c>
    </row>
    <row r="169" spans="1:8" x14ac:dyDescent="0.25">
      <c r="A169" s="4">
        <v>42277</v>
      </c>
      <c r="B169" s="5">
        <f t="shared" si="6"/>
        <v>2015</v>
      </c>
      <c r="C169" s="5">
        <f t="shared" si="7"/>
        <v>9</v>
      </c>
      <c r="D169" s="5" t="s">
        <v>16</v>
      </c>
      <c r="E169" s="5" t="str">
        <f>VLOOKUP(D169,Lookup!$A$2:$C$9,2,FALSE())</f>
        <v>Antihistamines</v>
      </c>
      <c r="F169" s="6">
        <v>71</v>
      </c>
      <c r="G169" s="5" t="str">
        <f t="shared" si="8"/>
        <v>No</v>
      </c>
      <c r="H169" t="str">
        <f>INDEX(Lookup!$C$2:$C$9,MATCH(tblSales[[#This Row],[Category Code]],Lookup!$A$2:$A$9,0))</f>
        <v>Respiratory system</v>
      </c>
    </row>
    <row r="170" spans="1:8" x14ac:dyDescent="0.25">
      <c r="A170" s="4">
        <v>42308</v>
      </c>
      <c r="B170" s="5">
        <f t="shared" si="6"/>
        <v>2015</v>
      </c>
      <c r="C170" s="5">
        <f t="shared" si="7"/>
        <v>10</v>
      </c>
      <c r="D170" s="5" t="s">
        <v>9</v>
      </c>
      <c r="E170" s="5" t="str">
        <f>VLOOKUP(D170,Lookup!$A$2:$C$9,2,FALSE())</f>
        <v>Anti-inflammatory (acetic acid)</v>
      </c>
      <c r="F170" s="6">
        <v>195.81</v>
      </c>
      <c r="G170" s="5" t="str">
        <f t="shared" si="8"/>
        <v>No</v>
      </c>
      <c r="H170" t="str">
        <f>INDEX(Lookup!$C$2:$C$9,MATCH(tblSales[[#This Row],[Category Code]],Lookup!$A$2:$A$9,0))</f>
        <v>Musculo-skeletal system</v>
      </c>
    </row>
    <row r="171" spans="1:8" x14ac:dyDescent="0.25">
      <c r="A171" s="4">
        <v>42308</v>
      </c>
      <c r="B171" s="5">
        <f t="shared" si="6"/>
        <v>2015</v>
      </c>
      <c r="C171" s="5">
        <f t="shared" si="7"/>
        <v>10</v>
      </c>
      <c r="D171" s="5" t="s">
        <v>10</v>
      </c>
      <c r="E171" s="5" t="str">
        <f>VLOOKUP(D171,Lookup!$A$2:$C$9,2,FALSE())</f>
        <v>Anti-inflammatory (propionic acid)</v>
      </c>
      <c r="F171" s="6">
        <v>127.23</v>
      </c>
      <c r="G171" s="5" t="str">
        <f t="shared" si="8"/>
        <v>No</v>
      </c>
      <c r="H171" t="str">
        <f>INDEX(Lookup!$C$2:$C$9,MATCH(tblSales[[#This Row],[Category Code]],Lookup!$A$2:$A$9,0))</f>
        <v>Musculo-skeletal system</v>
      </c>
    </row>
    <row r="172" spans="1:8" x14ac:dyDescent="0.25">
      <c r="A172" s="4">
        <v>42308</v>
      </c>
      <c r="B172" s="5">
        <f t="shared" si="6"/>
        <v>2015</v>
      </c>
      <c r="C172" s="5">
        <f t="shared" si="7"/>
        <v>10</v>
      </c>
      <c r="D172" s="5" t="s">
        <v>11</v>
      </c>
      <c r="E172" s="5" t="str">
        <f>VLOOKUP(D172,Lookup!$A$2:$C$9,2,FALSE())</f>
        <v>Analgesic (salicylic acid)</v>
      </c>
      <c r="F172" s="6">
        <v>146.19999999999999</v>
      </c>
      <c r="G172" s="5" t="str">
        <f t="shared" si="8"/>
        <v>No</v>
      </c>
      <c r="H172" t="str">
        <f>INDEX(Lookup!$C$2:$C$9,MATCH(tblSales[[#This Row],[Category Code]],Lookup!$A$2:$A$9,0))</f>
        <v>Nervous system</v>
      </c>
    </row>
    <row r="173" spans="1:8" x14ac:dyDescent="0.25">
      <c r="A173" s="4">
        <v>42308</v>
      </c>
      <c r="B173" s="5">
        <f t="shared" si="6"/>
        <v>2015</v>
      </c>
      <c r="C173" s="5">
        <f t="shared" si="7"/>
        <v>10</v>
      </c>
      <c r="D173" s="5" t="s">
        <v>12</v>
      </c>
      <c r="E173" s="5" t="str">
        <f>VLOOKUP(D173,Lookup!$A$2:$C$9,2,FALSE())</f>
        <v>Analgesic (paracetamol-type)</v>
      </c>
      <c r="F173" s="6">
        <v>1574.34</v>
      </c>
      <c r="G173" s="5" t="str">
        <f t="shared" si="8"/>
        <v>No</v>
      </c>
      <c r="H173" t="str">
        <f>INDEX(Lookup!$C$2:$C$9,MATCH(tblSales[[#This Row],[Category Code]],Lookup!$A$2:$A$9,0))</f>
        <v>Nervous system</v>
      </c>
    </row>
    <row r="174" spans="1:8" x14ac:dyDescent="0.25">
      <c r="A174" s="4">
        <v>42308</v>
      </c>
      <c r="B174" s="5">
        <f t="shared" si="6"/>
        <v>2015</v>
      </c>
      <c r="C174" s="5">
        <f t="shared" si="7"/>
        <v>10</v>
      </c>
      <c r="D174" s="5" t="s">
        <v>13</v>
      </c>
      <c r="E174" s="5" t="str">
        <f>VLOOKUP(D174,Lookup!$A$2:$C$9,2,FALSE())</f>
        <v>Anxiolytics</v>
      </c>
      <c r="F174" s="6">
        <v>222</v>
      </c>
      <c r="G174" s="5" t="str">
        <f t="shared" si="8"/>
        <v>No</v>
      </c>
      <c r="H174" t="str">
        <f>INDEX(Lookup!$C$2:$C$9,MATCH(tblSales[[#This Row],[Category Code]],Lookup!$A$2:$A$9,0))</f>
        <v>Nervous system</v>
      </c>
    </row>
    <row r="175" spans="1:8" x14ac:dyDescent="0.25">
      <c r="A175" s="4">
        <v>42308</v>
      </c>
      <c r="B175" s="5">
        <f t="shared" si="6"/>
        <v>2015</v>
      </c>
      <c r="C175" s="5">
        <f t="shared" si="7"/>
        <v>10</v>
      </c>
      <c r="D175" s="5" t="s">
        <v>14</v>
      </c>
      <c r="E175" s="5" t="str">
        <f>VLOOKUP(D175,Lookup!$A$2:$C$9,2,FALSE())</f>
        <v>Hypnotics &amp; sedatives</v>
      </c>
      <c r="F175" s="6">
        <v>8</v>
      </c>
      <c r="G175" s="5" t="str">
        <f t="shared" si="8"/>
        <v>No</v>
      </c>
      <c r="H175" t="str">
        <f>INDEX(Lookup!$C$2:$C$9,MATCH(tblSales[[#This Row],[Category Code]],Lookup!$A$2:$A$9,0))</f>
        <v>Nervous system</v>
      </c>
    </row>
    <row r="176" spans="1:8" x14ac:dyDescent="0.25">
      <c r="A176" s="4">
        <v>42308</v>
      </c>
      <c r="B176" s="5">
        <f t="shared" si="6"/>
        <v>2015</v>
      </c>
      <c r="C176" s="5">
        <f t="shared" si="7"/>
        <v>10</v>
      </c>
      <c r="D176" s="5" t="s">
        <v>15</v>
      </c>
      <c r="E176" s="5" t="str">
        <f>VLOOKUP(D176,Lookup!$A$2:$C$9,2,FALSE())</f>
        <v>Airway disease drugs</v>
      </c>
      <c r="F176" s="6">
        <v>184</v>
      </c>
      <c r="G176" s="5" t="str">
        <f t="shared" si="8"/>
        <v>No</v>
      </c>
      <c r="H176" t="str">
        <f>INDEX(Lookup!$C$2:$C$9,MATCH(tblSales[[#This Row],[Category Code]],Lookup!$A$2:$A$9,0))</f>
        <v>Respiratory system</v>
      </c>
    </row>
    <row r="177" spans="1:8" x14ac:dyDescent="0.25">
      <c r="A177" s="4">
        <v>42308</v>
      </c>
      <c r="B177" s="5">
        <f t="shared" si="6"/>
        <v>2015</v>
      </c>
      <c r="C177" s="5">
        <f t="shared" si="7"/>
        <v>10</v>
      </c>
      <c r="D177" s="5" t="s">
        <v>16</v>
      </c>
      <c r="E177" s="5" t="str">
        <f>VLOOKUP(D177,Lookup!$A$2:$C$9,2,FALSE())</f>
        <v>Antihistamines</v>
      </c>
      <c r="F177" s="6">
        <v>72</v>
      </c>
      <c r="G177" s="5" t="str">
        <f t="shared" si="8"/>
        <v>No</v>
      </c>
      <c r="H177" t="str">
        <f>INDEX(Lookup!$C$2:$C$9,MATCH(tblSales[[#This Row],[Category Code]],Lookup!$A$2:$A$9,0))</f>
        <v>Respiratory system</v>
      </c>
    </row>
    <row r="178" spans="1:8" x14ac:dyDescent="0.25">
      <c r="A178" s="4">
        <v>42338</v>
      </c>
      <c r="B178" s="5">
        <f t="shared" si="6"/>
        <v>2015</v>
      </c>
      <c r="C178" s="5">
        <f t="shared" si="7"/>
        <v>11</v>
      </c>
      <c r="D178" s="5" t="s">
        <v>9</v>
      </c>
      <c r="E178" s="5" t="str">
        <f>VLOOKUP(D178,Lookup!$A$2:$C$9,2,FALSE())</f>
        <v>Anti-inflammatory (acetic acid)</v>
      </c>
      <c r="F178" s="6">
        <v>142.78</v>
      </c>
      <c r="G178" s="5" t="str">
        <f t="shared" si="8"/>
        <v>No</v>
      </c>
      <c r="H178" t="str">
        <f>INDEX(Lookup!$C$2:$C$9,MATCH(tblSales[[#This Row],[Category Code]],Lookup!$A$2:$A$9,0))</f>
        <v>Musculo-skeletal system</v>
      </c>
    </row>
    <row r="179" spans="1:8" x14ac:dyDescent="0.25">
      <c r="A179" s="4">
        <v>42338</v>
      </c>
      <c r="B179" s="5">
        <f t="shared" si="6"/>
        <v>2015</v>
      </c>
      <c r="C179" s="5">
        <f t="shared" si="7"/>
        <v>11</v>
      </c>
      <c r="D179" s="5" t="s">
        <v>10</v>
      </c>
      <c r="E179" s="5" t="str">
        <f>VLOOKUP(D179,Lookup!$A$2:$C$9,2,FALSE())</f>
        <v>Anti-inflammatory (propionic acid)</v>
      </c>
      <c r="F179" s="6">
        <v>128.22999999999999</v>
      </c>
      <c r="G179" s="5" t="str">
        <f t="shared" si="8"/>
        <v>No</v>
      </c>
      <c r="H179" t="str">
        <f>INDEX(Lookup!$C$2:$C$9,MATCH(tblSales[[#This Row],[Category Code]],Lookup!$A$2:$A$9,0))</f>
        <v>Musculo-skeletal system</v>
      </c>
    </row>
    <row r="180" spans="1:8" x14ac:dyDescent="0.25">
      <c r="A180" s="4">
        <v>42338</v>
      </c>
      <c r="B180" s="5">
        <f t="shared" si="6"/>
        <v>2015</v>
      </c>
      <c r="C180" s="5">
        <f t="shared" si="7"/>
        <v>11</v>
      </c>
      <c r="D180" s="5" t="s">
        <v>11</v>
      </c>
      <c r="E180" s="5" t="str">
        <f>VLOOKUP(D180,Lookup!$A$2:$C$9,2,FALSE())</f>
        <v>Analgesic (salicylic acid)</v>
      </c>
      <c r="F180" s="6">
        <v>145.9</v>
      </c>
      <c r="G180" s="5" t="str">
        <f t="shared" si="8"/>
        <v>No</v>
      </c>
      <c r="H180" t="str">
        <f>INDEX(Lookup!$C$2:$C$9,MATCH(tblSales[[#This Row],[Category Code]],Lookup!$A$2:$A$9,0))</f>
        <v>Nervous system</v>
      </c>
    </row>
    <row r="181" spans="1:8" x14ac:dyDescent="0.25">
      <c r="A181" s="4">
        <v>42338</v>
      </c>
      <c r="B181" s="5">
        <f t="shared" si="6"/>
        <v>2015</v>
      </c>
      <c r="C181" s="5">
        <f t="shared" si="7"/>
        <v>11</v>
      </c>
      <c r="D181" s="5" t="s">
        <v>12</v>
      </c>
      <c r="E181" s="5" t="str">
        <f>VLOOKUP(D181,Lookup!$A$2:$C$9,2,FALSE())</f>
        <v>Analgesic (paracetamol-type)</v>
      </c>
      <c r="F181" s="6">
        <v>1234.97</v>
      </c>
      <c r="G181" s="5" t="str">
        <f t="shared" si="8"/>
        <v>No</v>
      </c>
      <c r="H181" t="str">
        <f>INDEX(Lookup!$C$2:$C$9,MATCH(tblSales[[#This Row],[Category Code]],Lookup!$A$2:$A$9,0))</f>
        <v>Nervous system</v>
      </c>
    </row>
    <row r="182" spans="1:8" x14ac:dyDescent="0.25">
      <c r="A182" s="4">
        <v>42338</v>
      </c>
      <c r="B182" s="5">
        <f t="shared" si="6"/>
        <v>2015</v>
      </c>
      <c r="C182" s="5">
        <f t="shared" si="7"/>
        <v>11</v>
      </c>
      <c r="D182" s="5" t="s">
        <v>13</v>
      </c>
      <c r="E182" s="5" t="str">
        <f>VLOOKUP(D182,Lookup!$A$2:$C$9,2,FALSE())</f>
        <v>Anxiolytics</v>
      </c>
      <c r="F182" s="6">
        <v>228</v>
      </c>
      <c r="G182" s="5" t="str">
        <f t="shared" si="8"/>
        <v>No</v>
      </c>
      <c r="H182" t="str">
        <f>INDEX(Lookup!$C$2:$C$9,MATCH(tblSales[[#This Row],[Category Code]],Lookup!$A$2:$A$9,0))</f>
        <v>Nervous system</v>
      </c>
    </row>
    <row r="183" spans="1:8" x14ac:dyDescent="0.25">
      <c r="A183" s="4">
        <v>42338</v>
      </c>
      <c r="B183" s="5">
        <f t="shared" si="6"/>
        <v>2015</v>
      </c>
      <c r="C183" s="5">
        <f t="shared" si="7"/>
        <v>11</v>
      </c>
      <c r="D183" s="5" t="s">
        <v>14</v>
      </c>
      <c r="E183" s="5" t="str">
        <f>VLOOKUP(D183,Lookup!$A$2:$C$9,2,FALSE())</f>
        <v>Hypnotics &amp; sedatives</v>
      </c>
      <c r="F183" s="6">
        <v>18</v>
      </c>
      <c r="G183" s="5" t="str">
        <f t="shared" si="8"/>
        <v>No</v>
      </c>
      <c r="H183" t="str">
        <f>INDEX(Lookup!$C$2:$C$9,MATCH(tblSales[[#This Row],[Category Code]],Lookup!$A$2:$A$9,0))</f>
        <v>Nervous system</v>
      </c>
    </row>
    <row r="184" spans="1:8" x14ac:dyDescent="0.25">
      <c r="A184" s="4">
        <v>42338</v>
      </c>
      <c r="B184" s="5">
        <f t="shared" si="6"/>
        <v>2015</v>
      </c>
      <c r="C184" s="5">
        <f t="shared" si="7"/>
        <v>11</v>
      </c>
      <c r="D184" s="5" t="s">
        <v>15</v>
      </c>
      <c r="E184" s="5" t="str">
        <f>VLOOKUP(D184,Lookup!$A$2:$C$9,2,FALSE())</f>
        <v>Airway disease drugs</v>
      </c>
      <c r="F184" s="6">
        <v>165</v>
      </c>
      <c r="G184" s="5" t="str">
        <f t="shared" si="8"/>
        <v>No</v>
      </c>
      <c r="H184" t="str">
        <f>INDEX(Lookup!$C$2:$C$9,MATCH(tblSales[[#This Row],[Category Code]],Lookup!$A$2:$A$9,0))</f>
        <v>Respiratory system</v>
      </c>
    </row>
    <row r="185" spans="1:8" x14ac:dyDescent="0.25">
      <c r="A185" s="4">
        <v>42338</v>
      </c>
      <c r="B185" s="5">
        <f t="shared" si="6"/>
        <v>2015</v>
      </c>
      <c r="C185" s="5">
        <f t="shared" si="7"/>
        <v>11</v>
      </c>
      <c r="D185" s="5" t="s">
        <v>16</v>
      </c>
      <c r="E185" s="5" t="str">
        <f>VLOOKUP(D185,Lookup!$A$2:$C$9,2,FALSE())</f>
        <v>Antihistamines</v>
      </c>
      <c r="F185" s="6">
        <v>44</v>
      </c>
      <c r="G185" s="5" t="str">
        <f t="shared" si="8"/>
        <v>No</v>
      </c>
      <c r="H185" t="str">
        <f>INDEX(Lookup!$C$2:$C$9,MATCH(tblSales[[#This Row],[Category Code]],Lookup!$A$2:$A$9,0))</f>
        <v>Respiratory system</v>
      </c>
    </row>
    <row r="186" spans="1:8" x14ac:dyDescent="0.25">
      <c r="A186" s="4">
        <v>42369</v>
      </c>
      <c r="B186" s="5">
        <f t="shared" si="6"/>
        <v>2015</v>
      </c>
      <c r="C186" s="5">
        <f t="shared" si="7"/>
        <v>12</v>
      </c>
      <c r="D186" s="5" t="s">
        <v>9</v>
      </c>
      <c r="E186" s="5" t="str">
        <f>VLOOKUP(D186,Lookup!$A$2:$C$9,2,FALSE())</f>
        <v>Anti-inflammatory (acetic acid)</v>
      </c>
      <c r="F186" s="6">
        <v>159.46</v>
      </c>
      <c r="G186" s="5" t="str">
        <f t="shared" si="8"/>
        <v>No</v>
      </c>
      <c r="H186" t="str">
        <f>INDEX(Lookup!$C$2:$C$9,MATCH(tblSales[[#This Row],[Category Code]],Lookup!$A$2:$A$9,0))</f>
        <v>Musculo-skeletal system</v>
      </c>
    </row>
    <row r="187" spans="1:8" x14ac:dyDescent="0.25">
      <c r="A187" s="4">
        <v>42369</v>
      </c>
      <c r="B187" s="5">
        <f t="shared" si="6"/>
        <v>2015</v>
      </c>
      <c r="C187" s="5">
        <f t="shared" si="7"/>
        <v>12</v>
      </c>
      <c r="D187" s="5" t="s">
        <v>10</v>
      </c>
      <c r="E187" s="5" t="str">
        <f>VLOOKUP(D187,Lookup!$A$2:$C$9,2,FALSE())</f>
        <v>Anti-inflammatory (propionic acid)</v>
      </c>
      <c r="F187" s="6">
        <v>131.29</v>
      </c>
      <c r="G187" s="5" t="str">
        <f t="shared" si="8"/>
        <v>No</v>
      </c>
      <c r="H187" t="str">
        <f>INDEX(Lookup!$C$2:$C$9,MATCH(tblSales[[#This Row],[Category Code]],Lookup!$A$2:$A$9,0))</f>
        <v>Musculo-skeletal system</v>
      </c>
    </row>
    <row r="188" spans="1:8" x14ac:dyDescent="0.25">
      <c r="A188" s="4">
        <v>42369</v>
      </c>
      <c r="B188" s="5">
        <f t="shared" si="6"/>
        <v>2015</v>
      </c>
      <c r="C188" s="5">
        <f t="shared" si="7"/>
        <v>12</v>
      </c>
      <c r="D188" s="5" t="s">
        <v>11</v>
      </c>
      <c r="E188" s="5" t="str">
        <f>VLOOKUP(D188,Lookup!$A$2:$C$9,2,FALSE())</f>
        <v>Analgesic (salicylic acid)</v>
      </c>
      <c r="F188" s="6">
        <v>137</v>
      </c>
      <c r="G188" s="5" t="str">
        <f t="shared" si="8"/>
        <v>No</v>
      </c>
      <c r="H188" t="str">
        <f>INDEX(Lookup!$C$2:$C$9,MATCH(tblSales[[#This Row],[Category Code]],Lookup!$A$2:$A$9,0))</f>
        <v>Nervous system</v>
      </c>
    </row>
    <row r="189" spans="1:8" x14ac:dyDescent="0.25">
      <c r="A189" s="4">
        <v>42369</v>
      </c>
      <c r="B189" s="5">
        <f t="shared" si="6"/>
        <v>2015</v>
      </c>
      <c r="C189" s="5">
        <f t="shared" si="7"/>
        <v>12</v>
      </c>
      <c r="D189" s="5" t="s">
        <v>12</v>
      </c>
      <c r="E189" s="5" t="str">
        <f>VLOOKUP(D189,Lookup!$A$2:$C$9,2,FALSE())</f>
        <v>Analgesic (paracetamol-type)</v>
      </c>
      <c r="F189" s="6">
        <v>1258.3499999999999</v>
      </c>
      <c r="G189" s="5" t="str">
        <f t="shared" si="8"/>
        <v>No</v>
      </c>
      <c r="H189" t="str">
        <f>INDEX(Lookup!$C$2:$C$9,MATCH(tblSales[[#This Row],[Category Code]],Lookup!$A$2:$A$9,0))</f>
        <v>Nervous system</v>
      </c>
    </row>
    <row r="190" spans="1:8" x14ac:dyDescent="0.25">
      <c r="A190" s="4">
        <v>42369</v>
      </c>
      <c r="B190" s="5">
        <f t="shared" si="6"/>
        <v>2015</v>
      </c>
      <c r="C190" s="5">
        <f t="shared" si="7"/>
        <v>12</v>
      </c>
      <c r="D190" s="5" t="s">
        <v>13</v>
      </c>
      <c r="E190" s="5" t="str">
        <f>VLOOKUP(D190,Lookup!$A$2:$C$9,2,FALSE())</f>
        <v>Anxiolytics</v>
      </c>
      <c r="F190" s="6">
        <v>286</v>
      </c>
      <c r="G190" s="5" t="str">
        <f t="shared" si="8"/>
        <v>No</v>
      </c>
      <c r="H190" t="str">
        <f>INDEX(Lookup!$C$2:$C$9,MATCH(tblSales[[#This Row],[Category Code]],Lookup!$A$2:$A$9,0))</f>
        <v>Nervous system</v>
      </c>
    </row>
    <row r="191" spans="1:8" x14ac:dyDescent="0.25">
      <c r="A191" s="4">
        <v>42369</v>
      </c>
      <c r="B191" s="5">
        <f t="shared" si="6"/>
        <v>2015</v>
      </c>
      <c r="C191" s="5">
        <f t="shared" si="7"/>
        <v>12</v>
      </c>
      <c r="D191" s="5" t="s">
        <v>14</v>
      </c>
      <c r="E191" s="5" t="str">
        <f>VLOOKUP(D191,Lookup!$A$2:$C$9,2,FALSE())</f>
        <v>Hypnotics &amp; sedatives</v>
      </c>
      <c r="F191" s="6">
        <v>28</v>
      </c>
      <c r="G191" s="5" t="str">
        <f t="shared" si="8"/>
        <v>No</v>
      </c>
      <c r="H191" t="str">
        <f>INDEX(Lookup!$C$2:$C$9,MATCH(tblSales[[#This Row],[Category Code]],Lookup!$A$2:$A$9,0))</f>
        <v>Nervous system</v>
      </c>
    </row>
    <row r="192" spans="1:8" x14ac:dyDescent="0.25">
      <c r="A192" s="4">
        <v>42369</v>
      </c>
      <c r="B192" s="5">
        <f t="shared" si="6"/>
        <v>2015</v>
      </c>
      <c r="C192" s="5">
        <f t="shared" si="7"/>
        <v>12</v>
      </c>
      <c r="D192" s="5" t="s">
        <v>15</v>
      </c>
      <c r="E192" s="5" t="str">
        <f>VLOOKUP(D192,Lookup!$A$2:$C$9,2,FALSE())</f>
        <v>Airway disease drugs</v>
      </c>
      <c r="F192" s="6">
        <v>231</v>
      </c>
      <c r="G192" s="5" t="str">
        <f t="shared" si="8"/>
        <v>No</v>
      </c>
      <c r="H192" t="str">
        <f>INDEX(Lookup!$C$2:$C$9,MATCH(tblSales[[#This Row],[Category Code]],Lookup!$A$2:$A$9,0))</f>
        <v>Respiratory system</v>
      </c>
    </row>
    <row r="193" spans="1:8" x14ac:dyDescent="0.25">
      <c r="A193" s="4">
        <v>42369</v>
      </c>
      <c r="B193" s="5">
        <f t="shared" si="6"/>
        <v>2015</v>
      </c>
      <c r="C193" s="5">
        <f t="shared" si="7"/>
        <v>12</v>
      </c>
      <c r="D193" s="5" t="s">
        <v>16</v>
      </c>
      <c r="E193" s="5" t="str">
        <f>VLOOKUP(D193,Lookup!$A$2:$C$9,2,FALSE())</f>
        <v>Antihistamines</v>
      </c>
      <c r="F193" s="6">
        <v>41.73</v>
      </c>
      <c r="G193" s="5" t="str">
        <f t="shared" si="8"/>
        <v>No</v>
      </c>
      <c r="H193" t="str">
        <f>INDEX(Lookup!$C$2:$C$9,MATCH(tblSales[[#This Row],[Category Code]],Lookup!$A$2:$A$9,0))</f>
        <v>Respiratory system</v>
      </c>
    </row>
    <row r="194" spans="1:8" x14ac:dyDescent="0.25">
      <c r="A194" s="4">
        <v>42400</v>
      </c>
      <c r="B194" s="5">
        <f t="shared" ref="B194:B257" si="9">YEAR(A194)</f>
        <v>2016</v>
      </c>
      <c r="C194" s="5">
        <f t="shared" ref="C194:C257" si="10">MONTH(A194)</f>
        <v>1</v>
      </c>
      <c r="D194" s="5" t="s">
        <v>9</v>
      </c>
      <c r="E194" s="5" t="str">
        <f>VLOOKUP(D194,Lookup!$A$2:$C$9,2,FALSE())</f>
        <v>Anti-inflammatory (acetic acid)</v>
      </c>
      <c r="F194" s="6">
        <v>171.65</v>
      </c>
      <c r="G194" s="5" t="str">
        <f t="shared" ref="G194:G257" si="11">IF(A194=DATE(2019,10,31),"Yes","No")</f>
        <v>No</v>
      </c>
      <c r="H194" t="str">
        <f>INDEX(Lookup!$C$2:$C$9,MATCH(tblSales[[#This Row],[Category Code]],Lookup!$A$2:$A$9,0))</f>
        <v>Musculo-skeletal system</v>
      </c>
    </row>
    <row r="195" spans="1:8" x14ac:dyDescent="0.25">
      <c r="A195" s="4">
        <v>42400</v>
      </c>
      <c r="B195" s="5">
        <f t="shared" si="9"/>
        <v>2016</v>
      </c>
      <c r="C195" s="5">
        <f t="shared" si="10"/>
        <v>1</v>
      </c>
      <c r="D195" s="5" t="s">
        <v>10</v>
      </c>
      <c r="E195" s="5" t="str">
        <f>VLOOKUP(D195,Lookup!$A$2:$C$9,2,FALSE())</f>
        <v>Anti-inflammatory (propionic acid)</v>
      </c>
      <c r="F195" s="6">
        <v>128.4</v>
      </c>
      <c r="G195" s="5" t="str">
        <f t="shared" si="11"/>
        <v>No</v>
      </c>
      <c r="H195" t="str">
        <f>INDEX(Lookup!$C$2:$C$9,MATCH(tblSales[[#This Row],[Category Code]],Lookup!$A$2:$A$9,0))</f>
        <v>Musculo-skeletal system</v>
      </c>
    </row>
    <row r="196" spans="1:8" x14ac:dyDescent="0.25">
      <c r="A196" s="4">
        <v>42400</v>
      </c>
      <c r="B196" s="5">
        <f t="shared" si="9"/>
        <v>2016</v>
      </c>
      <c r="C196" s="5">
        <f t="shared" si="10"/>
        <v>1</v>
      </c>
      <c r="D196" s="5" t="s">
        <v>11</v>
      </c>
      <c r="E196" s="5" t="str">
        <f>VLOOKUP(D196,Lookup!$A$2:$C$9,2,FALSE())</f>
        <v>Analgesic (salicylic acid)</v>
      </c>
      <c r="F196" s="6">
        <v>172.5</v>
      </c>
      <c r="G196" s="5" t="str">
        <f t="shared" si="11"/>
        <v>No</v>
      </c>
      <c r="H196" t="str">
        <f>INDEX(Lookup!$C$2:$C$9,MATCH(tblSales[[#This Row],[Category Code]],Lookup!$A$2:$A$9,0))</f>
        <v>Nervous system</v>
      </c>
    </row>
    <row r="197" spans="1:8" x14ac:dyDescent="0.25">
      <c r="A197" s="4">
        <v>42400</v>
      </c>
      <c r="B197" s="5">
        <f t="shared" si="9"/>
        <v>2016</v>
      </c>
      <c r="C197" s="5">
        <f t="shared" si="10"/>
        <v>1</v>
      </c>
      <c r="D197" s="5" t="s">
        <v>12</v>
      </c>
      <c r="E197" s="5" t="str">
        <f>VLOOKUP(D197,Lookup!$A$2:$C$9,2,FALSE())</f>
        <v>Analgesic (paracetamol-type)</v>
      </c>
      <c r="F197" s="6">
        <v>1476.32</v>
      </c>
      <c r="G197" s="5" t="str">
        <f t="shared" si="11"/>
        <v>No</v>
      </c>
      <c r="H197" t="str">
        <f>INDEX(Lookup!$C$2:$C$9,MATCH(tblSales[[#This Row],[Category Code]],Lookup!$A$2:$A$9,0))</f>
        <v>Nervous system</v>
      </c>
    </row>
    <row r="198" spans="1:8" x14ac:dyDescent="0.25">
      <c r="A198" s="4">
        <v>42400</v>
      </c>
      <c r="B198" s="5">
        <f t="shared" si="9"/>
        <v>2016</v>
      </c>
      <c r="C198" s="5">
        <f t="shared" si="10"/>
        <v>1</v>
      </c>
      <c r="D198" s="5" t="s">
        <v>13</v>
      </c>
      <c r="E198" s="5" t="str">
        <f>VLOOKUP(D198,Lookup!$A$2:$C$9,2,FALSE())</f>
        <v>Anxiolytics</v>
      </c>
      <c r="F198" s="6">
        <v>248</v>
      </c>
      <c r="G198" s="5" t="str">
        <f t="shared" si="11"/>
        <v>No</v>
      </c>
      <c r="H198" t="str">
        <f>INDEX(Lookup!$C$2:$C$9,MATCH(tblSales[[#This Row],[Category Code]],Lookup!$A$2:$A$9,0))</f>
        <v>Nervous system</v>
      </c>
    </row>
    <row r="199" spans="1:8" x14ac:dyDescent="0.25">
      <c r="A199" s="4">
        <v>42400</v>
      </c>
      <c r="B199" s="5">
        <f t="shared" si="9"/>
        <v>2016</v>
      </c>
      <c r="C199" s="5">
        <f t="shared" si="10"/>
        <v>1</v>
      </c>
      <c r="D199" s="5" t="s">
        <v>14</v>
      </c>
      <c r="E199" s="5" t="str">
        <f>VLOOKUP(D199,Lookup!$A$2:$C$9,2,FALSE())</f>
        <v>Hypnotics &amp; sedatives</v>
      </c>
      <c r="F199" s="6">
        <v>24</v>
      </c>
      <c r="G199" s="5" t="str">
        <f t="shared" si="11"/>
        <v>No</v>
      </c>
      <c r="H199" t="str">
        <f>INDEX(Lookup!$C$2:$C$9,MATCH(tblSales[[#This Row],[Category Code]],Lookup!$A$2:$A$9,0))</f>
        <v>Nervous system</v>
      </c>
    </row>
    <row r="200" spans="1:8" x14ac:dyDescent="0.25">
      <c r="A200" s="4">
        <v>42400</v>
      </c>
      <c r="B200" s="5">
        <f t="shared" si="9"/>
        <v>2016</v>
      </c>
      <c r="C200" s="5">
        <f t="shared" si="10"/>
        <v>1</v>
      </c>
      <c r="D200" s="5" t="s">
        <v>15</v>
      </c>
      <c r="E200" s="5" t="str">
        <f>VLOOKUP(D200,Lookup!$A$2:$C$9,2,FALSE())</f>
        <v>Airway disease drugs</v>
      </c>
      <c r="F200" s="6">
        <v>174</v>
      </c>
      <c r="G200" s="5" t="str">
        <f t="shared" si="11"/>
        <v>No</v>
      </c>
      <c r="H200" t="str">
        <f>INDEX(Lookup!$C$2:$C$9,MATCH(tblSales[[#This Row],[Category Code]],Lookup!$A$2:$A$9,0))</f>
        <v>Respiratory system</v>
      </c>
    </row>
    <row r="201" spans="1:8" x14ac:dyDescent="0.25">
      <c r="A201" s="4">
        <v>42400</v>
      </c>
      <c r="B201" s="5">
        <f t="shared" si="9"/>
        <v>2016</v>
      </c>
      <c r="C201" s="5">
        <f t="shared" si="10"/>
        <v>1</v>
      </c>
      <c r="D201" s="5" t="s">
        <v>16</v>
      </c>
      <c r="E201" s="5" t="str">
        <f>VLOOKUP(D201,Lookup!$A$2:$C$9,2,FALSE())</f>
        <v>Antihistamines</v>
      </c>
      <c r="F201" s="6">
        <v>56.5</v>
      </c>
      <c r="G201" s="5" t="str">
        <f t="shared" si="11"/>
        <v>No</v>
      </c>
      <c r="H201" t="str">
        <f>INDEX(Lookup!$C$2:$C$9,MATCH(tblSales[[#This Row],[Category Code]],Lookup!$A$2:$A$9,0))</f>
        <v>Respiratory system</v>
      </c>
    </row>
    <row r="202" spans="1:8" x14ac:dyDescent="0.25">
      <c r="A202" s="4">
        <v>42429</v>
      </c>
      <c r="B202" s="5">
        <f t="shared" si="9"/>
        <v>2016</v>
      </c>
      <c r="C202" s="5">
        <f t="shared" si="10"/>
        <v>2</v>
      </c>
      <c r="D202" s="5" t="s">
        <v>9</v>
      </c>
      <c r="E202" s="5" t="str">
        <f>VLOOKUP(D202,Lookup!$A$2:$C$9,2,FALSE())</f>
        <v>Anti-inflammatory (acetic acid)</v>
      </c>
      <c r="F202" s="6">
        <v>173.81</v>
      </c>
      <c r="G202" s="5" t="str">
        <f t="shared" si="11"/>
        <v>No</v>
      </c>
      <c r="H202" t="str">
        <f>INDEX(Lookup!$C$2:$C$9,MATCH(tblSales[[#This Row],[Category Code]],Lookup!$A$2:$A$9,0))</f>
        <v>Musculo-skeletal system</v>
      </c>
    </row>
    <row r="203" spans="1:8" x14ac:dyDescent="0.25">
      <c r="A203" s="4">
        <v>42429</v>
      </c>
      <c r="B203" s="5">
        <f t="shared" si="9"/>
        <v>2016</v>
      </c>
      <c r="C203" s="5">
        <f t="shared" si="10"/>
        <v>2</v>
      </c>
      <c r="D203" s="5" t="s">
        <v>10</v>
      </c>
      <c r="E203" s="5" t="str">
        <f>VLOOKUP(D203,Lookup!$A$2:$C$9,2,FALSE())</f>
        <v>Anti-inflammatory (propionic acid)</v>
      </c>
      <c r="F203" s="6">
        <v>137.53</v>
      </c>
      <c r="G203" s="5" t="str">
        <f t="shared" si="11"/>
        <v>No</v>
      </c>
      <c r="H203" t="str">
        <f>INDEX(Lookup!$C$2:$C$9,MATCH(tblSales[[#This Row],[Category Code]],Lookup!$A$2:$A$9,0))</f>
        <v>Musculo-skeletal system</v>
      </c>
    </row>
    <row r="204" spans="1:8" x14ac:dyDescent="0.25">
      <c r="A204" s="4">
        <v>42429</v>
      </c>
      <c r="B204" s="5">
        <f t="shared" si="9"/>
        <v>2016</v>
      </c>
      <c r="C204" s="5">
        <f t="shared" si="10"/>
        <v>2</v>
      </c>
      <c r="D204" s="5" t="s">
        <v>11</v>
      </c>
      <c r="E204" s="5" t="str">
        <f>VLOOKUP(D204,Lookup!$A$2:$C$9,2,FALSE())</f>
        <v>Analgesic (salicylic acid)</v>
      </c>
      <c r="F204" s="6">
        <v>134.19999999999999</v>
      </c>
      <c r="G204" s="5" t="str">
        <f t="shared" si="11"/>
        <v>No</v>
      </c>
      <c r="H204" t="str">
        <f>INDEX(Lookup!$C$2:$C$9,MATCH(tblSales[[#This Row],[Category Code]],Lookup!$A$2:$A$9,0))</f>
        <v>Nervous system</v>
      </c>
    </row>
    <row r="205" spans="1:8" x14ac:dyDescent="0.25">
      <c r="A205" s="4">
        <v>42429</v>
      </c>
      <c r="B205" s="5">
        <f t="shared" si="9"/>
        <v>2016</v>
      </c>
      <c r="C205" s="5">
        <f t="shared" si="10"/>
        <v>2</v>
      </c>
      <c r="D205" s="5" t="s">
        <v>12</v>
      </c>
      <c r="E205" s="5" t="str">
        <f>VLOOKUP(D205,Lookup!$A$2:$C$9,2,FALSE())</f>
        <v>Analgesic (paracetamol-type)</v>
      </c>
      <c r="F205" s="6">
        <v>1224.8599999999999</v>
      </c>
      <c r="G205" s="5" t="str">
        <f t="shared" si="11"/>
        <v>No</v>
      </c>
      <c r="H205" t="str">
        <f>INDEX(Lookup!$C$2:$C$9,MATCH(tblSales[[#This Row],[Category Code]],Lookup!$A$2:$A$9,0))</f>
        <v>Nervous system</v>
      </c>
    </row>
    <row r="206" spans="1:8" x14ac:dyDescent="0.25">
      <c r="A206" s="4">
        <v>42429</v>
      </c>
      <c r="B206" s="5">
        <f t="shared" si="9"/>
        <v>2016</v>
      </c>
      <c r="C206" s="5">
        <f t="shared" si="10"/>
        <v>2</v>
      </c>
      <c r="D206" s="5" t="s">
        <v>13</v>
      </c>
      <c r="E206" s="5" t="str">
        <f>VLOOKUP(D206,Lookup!$A$2:$C$9,2,FALSE())</f>
        <v>Anxiolytics</v>
      </c>
      <c r="F206" s="6">
        <v>239</v>
      </c>
      <c r="G206" s="5" t="str">
        <f t="shared" si="11"/>
        <v>No</v>
      </c>
      <c r="H206" t="str">
        <f>INDEX(Lookup!$C$2:$C$9,MATCH(tblSales[[#This Row],[Category Code]],Lookup!$A$2:$A$9,0))</f>
        <v>Nervous system</v>
      </c>
    </row>
    <row r="207" spans="1:8" x14ac:dyDescent="0.25">
      <c r="A207" s="4">
        <v>42429</v>
      </c>
      <c r="B207" s="5">
        <f t="shared" si="9"/>
        <v>2016</v>
      </c>
      <c r="C207" s="5">
        <f t="shared" si="10"/>
        <v>2</v>
      </c>
      <c r="D207" s="5" t="s">
        <v>14</v>
      </c>
      <c r="E207" s="5" t="str">
        <f>VLOOKUP(D207,Lookup!$A$2:$C$9,2,FALSE())</f>
        <v>Hypnotics &amp; sedatives</v>
      </c>
      <c r="F207" s="6">
        <v>20</v>
      </c>
      <c r="G207" s="5" t="str">
        <f t="shared" si="11"/>
        <v>No</v>
      </c>
      <c r="H207" t="str">
        <f>INDEX(Lookup!$C$2:$C$9,MATCH(tblSales[[#This Row],[Category Code]],Lookup!$A$2:$A$9,0))</f>
        <v>Nervous system</v>
      </c>
    </row>
    <row r="208" spans="1:8" x14ac:dyDescent="0.25">
      <c r="A208" s="4">
        <v>42429</v>
      </c>
      <c r="B208" s="5">
        <f t="shared" si="9"/>
        <v>2016</v>
      </c>
      <c r="C208" s="5">
        <f t="shared" si="10"/>
        <v>2</v>
      </c>
      <c r="D208" s="5" t="s">
        <v>15</v>
      </c>
      <c r="E208" s="5" t="str">
        <f>VLOOKUP(D208,Lookup!$A$2:$C$9,2,FALSE())</f>
        <v>Airway disease drugs</v>
      </c>
      <c r="F208" s="6">
        <v>245</v>
      </c>
      <c r="G208" s="5" t="str">
        <f t="shared" si="11"/>
        <v>No</v>
      </c>
      <c r="H208" t="str">
        <f>INDEX(Lookup!$C$2:$C$9,MATCH(tblSales[[#This Row],[Category Code]],Lookup!$A$2:$A$9,0))</f>
        <v>Respiratory system</v>
      </c>
    </row>
    <row r="209" spans="1:8" x14ac:dyDescent="0.25">
      <c r="A209" s="4">
        <v>42429</v>
      </c>
      <c r="B209" s="5">
        <f t="shared" si="9"/>
        <v>2016</v>
      </c>
      <c r="C209" s="5">
        <f t="shared" si="10"/>
        <v>2</v>
      </c>
      <c r="D209" s="5" t="s">
        <v>16</v>
      </c>
      <c r="E209" s="5" t="str">
        <f>VLOOKUP(D209,Lookup!$A$2:$C$9,2,FALSE())</f>
        <v>Antihistamines</v>
      </c>
      <c r="F209" s="6">
        <v>58</v>
      </c>
      <c r="G209" s="5" t="str">
        <f t="shared" si="11"/>
        <v>No</v>
      </c>
      <c r="H209" t="str">
        <f>INDEX(Lookup!$C$2:$C$9,MATCH(tblSales[[#This Row],[Category Code]],Lookup!$A$2:$A$9,0))</f>
        <v>Respiratory system</v>
      </c>
    </row>
    <row r="210" spans="1:8" x14ac:dyDescent="0.25">
      <c r="A210" s="4">
        <v>42460</v>
      </c>
      <c r="B210" s="5">
        <f t="shared" si="9"/>
        <v>2016</v>
      </c>
      <c r="C210" s="5">
        <f t="shared" si="10"/>
        <v>3</v>
      </c>
      <c r="D210" s="5" t="s">
        <v>9</v>
      </c>
      <c r="E210" s="5" t="str">
        <f>VLOOKUP(D210,Lookup!$A$2:$C$9,2,FALSE())</f>
        <v>Anti-inflammatory (acetic acid)</v>
      </c>
      <c r="F210" s="6">
        <v>156.63999999999999</v>
      </c>
      <c r="G210" s="5" t="str">
        <f t="shared" si="11"/>
        <v>No</v>
      </c>
      <c r="H210" t="str">
        <f>INDEX(Lookup!$C$2:$C$9,MATCH(tblSales[[#This Row],[Category Code]],Lookup!$A$2:$A$9,0))</f>
        <v>Musculo-skeletal system</v>
      </c>
    </row>
    <row r="211" spans="1:8" x14ac:dyDescent="0.25">
      <c r="A211" s="4">
        <v>42460</v>
      </c>
      <c r="B211" s="5">
        <f t="shared" si="9"/>
        <v>2016</v>
      </c>
      <c r="C211" s="5">
        <f t="shared" si="10"/>
        <v>3</v>
      </c>
      <c r="D211" s="5" t="s">
        <v>10</v>
      </c>
      <c r="E211" s="5" t="str">
        <f>VLOOKUP(D211,Lookup!$A$2:$C$9,2,FALSE())</f>
        <v>Anti-inflammatory (propionic acid)</v>
      </c>
      <c r="F211" s="6">
        <v>165.59</v>
      </c>
      <c r="G211" s="5" t="str">
        <f t="shared" si="11"/>
        <v>No</v>
      </c>
      <c r="H211" t="str">
        <f>INDEX(Lookup!$C$2:$C$9,MATCH(tblSales[[#This Row],[Category Code]],Lookup!$A$2:$A$9,0))</f>
        <v>Musculo-skeletal system</v>
      </c>
    </row>
    <row r="212" spans="1:8" x14ac:dyDescent="0.25">
      <c r="A212" s="4">
        <v>42460</v>
      </c>
      <c r="B212" s="5">
        <f t="shared" si="9"/>
        <v>2016</v>
      </c>
      <c r="C212" s="5">
        <f t="shared" si="10"/>
        <v>3</v>
      </c>
      <c r="D212" s="5" t="s">
        <v>11</v>
      </c>
      <c r="E212" s="5" t="str">
        <f>VLOOKUP(D212,Lookup!$A$2:$C$9,2,FALSE())</f>
        <v>Analgesic (salicylic acid)</v>
      </c>
      <c r="F212" s="6">
        <v>148.4</v>
      </c>
      <c r="G212" s="5" t="str">
        <f t="shared" si="11"/>
        <v>No</v>
      </c>
      <c r="H212" t="str">
        <f>INDEX(Lookup!$C$2:$C$9,MATCH(tblSales[[#This Row],[Category Code]],Lookup!$A$2:$A$9,0))</f>
        <v>Nervous system</v>
      </c>
    </row>
    <row r="213" spans="1:8" x14ac:dyDescent="0.25">
      <c r="A213" s="4">
        <v>42460</v>
      </c>
      <c r="B213" s="5">
        <f t="shared" si="9"/>
        <v>2016</v>
      </c>
      <c r="C213" s="5">
        <f t="shared" si="10"/>
        <v>3</v>
      </c>
      <c r="D213" s="5" t="s">
        <v>12</v>
      </c>
      <c r="E213" s="5" t="str">
        <f>VLOOKUP(D213,Lookup!$A$2:$C$9,2,FALSE())</f>
        <v>Analgesic (paracetamol-type)</v>
      </c>
      <c r="F213" s="6">
        <v>1150.7</v>
      </c>
      <c r="G213" s="5" t="str">
        <f t="shared" si="11"/>
        <v>No</v>
      </c>
      <c r="H213" t="str">
        <f>INDEX(Lookup!$C$2:$C$9,MATCH(tblSales[[#This Row],[Category Code]],Lookup!$A$2:$A$9,0))</f>
        <v>Nervous system</v>
      </c>
    </row>
    <row r="214" spans="1:8" x14ac:dyDescent="0.25">
      <c r="A214" s="4">
        <v>42460</v>
      </c>
      <c r="B214" s="5">
        <f t="shared" si="9"/>
        <v>2016</v>
      </c>
      <c r="C214" s="5">
        <f t="shared" si="10"/>
        <v>3</v>
      </c>
      <c r="D214" s="5" t="s">
        <v>13</v>
      </c>
      <c r="E214" s="5" t="str">
        <f>VLOOKUP(D214,Lookup!$A$2:$C$9,2,FALSE())</f>
        <v>Anxiolytics</v>
      </c>
      <c r="F214" s="6">
        <v>250</v>
      </c>
      <c r="G214" s="5" t="str">
        <f t="shared" si="11"/>
        <v>No</v>
      </c>
      <c r="H214" t="str">
        <f>INDEX(Lookup!$C$2:$C$9,MATCH(tblSales[[#This Row],[Category Code]],Lookup!$A$2:$A$9,0))</f>
        <v>Nervous system</v>
      </c>
    </row>
    <row r="215" spans="1:8" x14ac:dyDescent="0.25">
      <c r="A215" s="4">
        <v>42460</v>
      </c>
      <c r="B215" s="5">
        <f t="shared" si="9"/>
        <v>2016</v>
      </c>
      <c r="C215" s="5">
        <f t="shared" si="10"/>
        <v>3</v>
      </c>
      <c r="D215" s="5" t="s">
        <v>14</v>
      </c>
      <c r="E215" s="5" t="str">
        <f>VLOOKUP(D215,Lookup!$A$2:$C$9,2,FALSE())</f>
        <v>Hypnotics &amp; sedatives</v>
      </c>
      <c r="F215" s="6">
        <v>13</v>
      </c>
      <c r="G215" s="5" t="str">
        <f t="shared" si="11"/>
        <v>No</v>
      </c>
      <c r="H215" t="str">
        <f>INDEX(Lookup!$C$2:$C$9,MATCH(tblSales[[#This Row],[Category Code]],Lookup!$A$2:$A$9,0))</f>
        <v>Nervous system</v>
      </c>
    </row>
    <row r="216" spans="1:8" x14ac:dyDescent="0.25">
      <c r="A216" s="4">
        <v>42460</v>
      </c>
      <c r="B216" s="5">
        <f t="shared" si="9"/>
        <v>2016</v>
      </c>
      <c r="C216" s="5">
        <f t="shared" si="10"/>
        <v>3</v>
      </c>
      <c r="D216" s="5" t="s">
        <v>15</v>
      </c>
      <c r="E216" s="5" t="str">
        <f>VLOOKUP(D216,Lookup!$A$2:$C$9,2,FALSE())</f>
        <v>Airway disease drugs</v>
      </c>
      <c r="F216" s="6">
        <v>253</v>
      </c>
      <c r="G216" s="5" t="str">
        <f t="shared" si="11"/>
        <v>No</v>
      </c>
      <c r="H216" t="str">
        <f>INDEX(Lookup!$C$2:$C$9,MATCH(tblSales[[#This Row],[Category Code]],Lookup!$A$2:$A$9,0))</f>
        <v>Respiratory system</v>
      </c>
    </row>
    <row r="217" spans="1:8" x14ac:dyDescent="0.25">
      <c r="A217" s="4">
        <v>42460</v>
      </c>
      <c r="B217" s="5">
        <f t="shared" si="9"/>
        <v>2016</v>
      </c>
      <c r="C217" s="5">
        <f t="shared" si="10"/>
        <v>3</v>
      </c>
      <c r="D217" s="5" t="s">
        <v>16</v>
      </c>
      <c r="E217" s="5" t="str">
        <f>VLOOKUP(D217,Lookup!$A$2:$C$9,2,FALSE())</f>
        <v>Antihistamines</v>
      </c>
      <c r="F217" s="6">
        <v>97.84</v>
      </c>
      <c r="G217" s="5" t="str">
        <f t="shared" si="11"/>
        <v>No</v>
      </c>
      <c r="H217" t="str">
        <f>INDEX(Lookup!$C$2:$C$9,MATCH(tblSales[[#This Row],[Category Code]],Lookup!$A$2:$A$9,0))</f>
        <v>Respiratory system</v>
      </c>
    </row>
    <row r="218" spans="1:8" x14ac:dyDescent="0.25">
      <c r="A218" s="4">
        <v>42490</v>
      </c>
      <c r="B218" s="5">
        <f t="shared" si="9"/>
        <v>2016</v>
      </c>
      <c r="C218" s="5">
        <f t="shared" si="10"/>
        <v>4</v>
      </c>
      <c r="D218" s="5" t="s">
        <v>9</v>
      </c>
      <c r="E218" s="5" t="str">
        <f>VLOOKUP(D218,Lookup!$A$2:$C$9,2,FALSE())</f>
        <v>Anti-inflammatory (acetic acid)</v>
      </c>
      <c r="F218" s="6">
        <v>166.61</v>
      </c>
      <c r="G218" s="5" t="str">
        <f t="shared" si="11"/>
        <v>No</v>
      </c>
      <c r="H218" t="str">
        <f>INDEX(Lookup!$C$2:$C$9,MATCH(tblSales[[#This Row],[Category Code]],Lookup!$A$2:$A$9,0))</f>
        <v>Musculo-skeletal system</v>
      </c>
    </row>
    <row r="219" spans="1:8" x14ac:dyDescent="0.25">
      <c r="A219" s="4">
        <v>42490</v>
      </c>
      <c r="B219" s="5">
        <f t="shared" si="9"/>
        <v>2016</v>
      </c>
      <c r="C219" s="5">
        <f t="shared" si="10"/>
        <v>4</v>
      </c>
      <c r="D219" s="5" t="s">
        <v>10</v>
      </c>
      <c r="E219" s="5" t="str">
        <f>VLOOKUP(D219,Lookup!$A$2:$C$9,2,FALSE())</f>
        <v>Anti-inflammatory (propionic acid)</v>
      </c>
      <c r="F219" s="6">
        <v>146.53</v>
      </c>
      <c r="G219" s="5" t="str">
        <f t="shared" si="11"/>
        <v>No</v>
      </c>
      <c r="H219" t="str">
        <f>INDEX(Lookup!$C$2:$C$9,MATCH(tblSales[[#This Row],[Category Code]],Lookup!$A$2:$A$9,0))</f>
        <v>Musculo-skeletal system</v>
      </c>
    </row>
    <row r="220" spans="1:8" x14ac:dyDescent="0.25">
      <c r="A220" s="4">
        <v>42490</v>
      </c>
      <c r="B220" s="5">
        <f t="shared" si="9"/>
        <v>2016</v>
      </c>
      <c r="C220" s="5">
        <f t="shared" si="10"/>
        <v>4</v>
      </c>
      <c r="D220" s="5" t="s">
        <v>11</v>
      </c>
      <c r="E220" s="5" t="str">
        <f>VLOOKUP(D220,Lookup!$A$2:$C$9,2,FALSE())</f>
        <v>Analgesic (salicylic acid)</v>
      </c>
      <c r="F220" s="6">
        <v>147.69999999999999</v>
      </c>
      <c r="G220" s="5" t="str">
        <f t="shared" si="11"/>
        <v>No</v>
      </c>
      <c r="H220" t="str">
        <f>INDEX(Lookup!$C$2:$C$9,MATCH(tblSales[[#This Row],[Category Code]],Lookup!$A$2:$A$9,0))</f>
        <v>Nervous system</v>
      </c>
    </row>
    <row r="221" spans="1:8" x14ac:dyDescent="0.25">
      <c r="A221" s="4">
        <v>42490</v>
      </c>
      <c r="B221" s="5">
        <f t="shared" si="9"/>
        <v>2016</v>
      </c>
      <c r="C221" s="5">
        <f t="shared" si="10"/>
        <v>4</v>
      </c>
      <c r="D221" s="5" t="s">
        <v>12</v>
      </c>
      <c r="E221" s="5" t="str">
        <f>VLOOKUP(D221,Lookup!$A$2:$C$9,2,FALSE())</f>
        <v>Analgesic (paracetamol-type)</v>
      </c>
      <c r="F221" s="6">
        <v>998.34</v>
      </c>
      <c r="G221" s="5" t="str">
        <f t="shared" si="11"/>
        <v>No</v>
      </c>
      <c r="H221" t="str">
        <f>INDEX(Lookup!$C$2:$C$9,MATCH(tblSales[[#This Row],[Category Code]],Lookup!$A$2:$A$9,0))</f>
        <v>Nervous system</v>
      </c>
    </row>
    <row r="222" spans="1:8" x14ac:dyDescent="0.25">
      <c r="A222" s="4">
        <v>42490</v>
      </c>
      <c r="B222" s="5">
        <f t="shared" si="9"/>
        <v>2016</v>
      </c>
      <c r="C222" s="5">
        <f t="shared" si="10"/>
        <v>4</v>
      </c>
      <c r="D222" s="5" t="s">
        <v>13</v>
      </c>
      <c r="E222" s="5" t="str">
        <f>VLOOKUP(D222,Lookup!$A$2:$C$9,2,FALSE())</f>
        <v>Anxiolytics</v>
      </c>
      <c r="F222" s="6">
        <v>292</v>
      </c>
      <c r="G222" s="5" t="str">
        <f t="shared" si="11"/>
        <v>No</v>
      </c>
      <c r="H222" t="str">
        <f>INDEX(Lookup!$C$2:$C$9,MATCH(tblSales[[#This Row],[Category Code]],Lookup!$A$2:$A$9,0))</f>
        <v>Nervous system</v>
      </c>
    </row>
    <row r="223" spans="1:8" x14ac:dyDescent="0.25">
      <c r="A223" s="4">
        <v>42490</v>
      </c>
      <c r="B223" s="5">
        <f t="shared" si="9"/>
        <v>2016</v>
      </c>
      <c r="C223" s="5">
        <f t="shared" si="10"/>
        <v>4</v>
      </c>
      <c r="D223" s="5" t="s">
        <v>14</v>
      </c>
      <c r="E223" s="5" t="str">
        <f>VLOOKUP(D223,Lookup!$A$2:$C$9,2,FALSE())</f>
        <v>Hypnotics &amp; sedatives</v>
      </c>
      <c r="F223" s="6">
        <v>18</v>
      </c>
      <c r="G223" s="5" t="str">
        <f t="shared" si="11"/>
        <v>No</v>
      </c>
      <c r="H223" t="str">
        <f>INDEX(Lookup!$C$2:$C$9,MATCH(tblSales[[#This Row],[Category Code]],Lookup!$A$2:$A$9,0))</f>
        <v>Nervous system</v>
      </c>
    </row>
    <row r="224" spans="1:8" x14ac:dyDescent="0.25">
      <c r="A224" s="4">
        <v>42490</v>
      </c>
      <c r="B224" s="5">
        <f t="shared" si="9"/>
        <v>2016</v>
      </c>
      <c r="C224" s="5">
        <f t="shared" si="10"/>
        <v>4</v>
      </c>
      <c r="D224" s="5" t="s">
        <v>15</v>
      </c>
      <c r="E224" s="5" t="str">
        <f>VLOOKUP(D224,Lookup!$A$2:$C$9,2,FALSE())</f>
        <v>Airway disease drugs</v>
      </c>
      <c r="F224" s="6">
        <v>216</v>
      </c>
      <c r="G224" s="5" t="str">
        <f t="shared" si="11"/>
        <v>No</v>
      </c>
      <c r="H224" t="str">
        <f>INDEX(Lookup!$C$2:$C$9,MATCH(tblSales[[#This Row],[Category Code]],Lookup!$A$2:$A$9,0))</f>
        <v>Respiratory system</v>
      </c>
    </row>
    <row r="225" spans="1:8" x14ac:dyDescent="0.25">
      <c r="A225" s="4">
        <v>42490</v>
      </c>
      <c r="B225" s="5">
        <f t="shared" si="9"/>
        <v>2016</v>
      </c>
      <c r="C225" s="5">
        <f t="shared" si="10"/>
        <v>4</v>
      </c>
      <c r="D225" s="5" t="s">
        <v>16</v>
      </c>
      <c r="E225" s="5" t="str">
        <f>VLOOKUP(D225,Lookup!$A$2:$C$9,2,FALSE())</f>
        <v>Antihistamines</v>
      </c>
      <c r="F225" s="6">
        <v>162.4</v>
      </c>
      <c r="G225" s="5" t="str">
        <f t="shared" si="11"/>
        <v>No</v>
      </c>
      <c r="H225" t="str">
        <f>INDEX(Lookup!$C$2:$C$9,MATCH(tblSales[[#This Row],[Category Code]],Lookup!$A$2:$A$9,0))</f>
        <v>Respiratory system</v>
      </c>
    </row>
    <row r="226" spans="1:8" x14ac:dyDescent="0.25">
      <c r="A226" s="4">
        <v>42521</v>
      </c>
      <c r="B226" s="5">
        <f t="shared" si="9"/>
        <v>2016</v>
      </c>
      <c r="C226" s="5">
        <f t="shared" si="10"/>
        <v>5</v>
      </c>
      <c r="D226" s="5" t="s">
        <v>9</v>
      </c>
      <c r="E226" s="5" t="str">
        <f>VLOOKUP(D226,Lookup!$A$2:$C$9,2,FALSE())</f>
        <v>Anti-inflammatory (acetic acid)</v>
      </c>
      <c r="F226" s="6">
        <v>167.36</v>
      </c>
      <c r="G226" s="5" t="str">
        <f t="shared" si="11"/>
        <v>No</v>
      </c>
      <c r="H226" t="str">
        <f>INDEX(Lookup!$C$2:$C$9,MATCH(tblSales[[#This Row],[Category Code]],Lookup!$A$2:$A$9,0))</f>
        <v>Musculo-skeletal system</v>
      </c>
    </row>
    <row r="227" spans="1:8" x14ac:dyDescent="0.25">
      <c r="A227" s="4">
        <v>42521</v>
      </c>
      <c r="B227" s="5">
        <f t="shared" si="9"/>
        <v>2016</v>
      </c>
      <c r="C227" s="5">
        <f t="shared" si="10"/>
        <v>5</v>
      </c>
      <c r="D227" s="5" t="s">
        <v>10</v>
      </c>
      <c r="E227" s="5" t="str">
        <f>VLOOKUP(D227,Lookup!$A$2:$C$9,2,FALSE())</f>
        <v>Anti-inflammatory (propionic acid)</v>
      </c>
      <c r="F227" s="6">
        <v>120.86</v>
      </c>
      <c r="G227" s="5" t="str">
        <f t="shared" si="11"/>
        <v>No</v>
      </c>
      <c r="H227" t="str">
        <f>INDEX(Lookup!$C$2:$C$9,MATCH(tblSales[[#This Row],[Category Code]],Lookup!$A$2:$A$9,0))</f>
        <v>Musculo-skeletal system</v>
      </c>
    </row>
    <row r="228" spans="1:8" x14ac:dyDescent="0.25">
      <c r="A228" s="4">
        <v>42521</v>
      </c>
      <c r="B228" s="5">
        <f t="shared" si="9"/>
        <v>2016</v>
      </c>
      <c r="C228" s="5">
        <f t="shared" si="10"/>
        <v>5</v>
      </c>
      <c r="D228" s="5" t="s">
        <v>11</v>
      </c>
      <c r="E228" s="5" t="str">
        <f>VLOOKUP(D228,Lookup!$A$2:$C$9,2,FALSE())</f>
        <v>Analgesic (salicylic acid)</v>
      </c>
      <c r="F228" s="6">
        <v>130.55000000000001</v>
      </c>
      <c r="G228" s="5" t="str">
        <f t="shared" si="11"/>
        <v>No</v>
      </c>
      <c r="H228" t="str">
        <f>INDEX(Lookup!$C$2:$C$9,MATCH(tblSales[[#This Row],[Category Code]],Lookup!$A$2:$A$9,0))</f>
        <v>Nervous system</v>
      </c>
    </row>
    <row r="229" spans="1:8" x14ac:dyDescent="0.25">
      <c r="A229" s="4">
        <v>42521</v>
      </c>
      <c r="B229" s="5">
        <f t="shared" si="9"/>
        <v>2016</v>
      </c>
      <c r="C229" s="5">
        <f t="shared" si="10"/>
        <v>5</v>
      </c>
      <c r="D229" s="5" t="s">
        <v>12</v>
      </c>
      <c r="E229" s="5" t="str">
        <f>VLOOKUP(D229,Lookup!$A$2:$C$9,2,FALSE())</f>
        <v>Analgesic (paracetamol-type)</v>
      </c>
      <c r="F229" s="6">
        <v>997.15</v>
      </c>
      <c r="G229" s="5" t="str">
        <f t="shared" si="11"/>
        <v>No</v>
      </c>
      <c r="H229" t="str">
        <f>INDEX(Lookup!$C$2:$C$9,MATCH(tblSales[[#This Row],[Category Code]],Lookup!$A$2:$A$9,0))</f>
        <v>Nervous system</v>
      </c>
    </row>
    <row r="230" spans="1:8" x14ac:dyDescent="0.25">
      <c r="A230" s="4">
        <v>42521</v>
      </c>
      <c r="B230" s="5">
        <f t="shared" si="9"/>
        <v>2016</v>
      </c>
      <c r="C230" s="5">
        <f t="shared" si="10"/>
        <v>5</v>
      </c>
      <c r="D230" s="5" t="s">
        <v>13</v>
      </c>
      <c r="E230" s="5" t="str">
        <f>VLOOKUP(D230,Lookup!$A$2:$C$9,2,FALSE())</f>
        <v>Anxiolytics</v>
      </c>
      <c r="F230" s="6">
        <v>255</v>
      </c>
      <c r="G230" s="5" t="str">
        <f t="shared" si="11"/>
        <v>No</v>
      </c>
      <c r="H230" t="str">
        <f>INDEX(Lookup!$C$2:$C$9,MATCH(tblSales[[#This Row],[Category Code]],Lookup!$A$2:$A$9,0))</f>
        <v>Nervous system</v>
      </c>
    </row>
    <row r="231" spans="1:8" x14ac:dyDescent="0.25">
      <c r="A231" s="4">
        <v>42521</v>
      </c>
      <c r="B231" s="5">
        <f t="shared" si="9"/>
        <v>2016</v>
      </c>
      <c r="C231" s="5">
        <f t="shared" si="10"/>
        <v>5</v>
      </c>
      <c r="D231" s="5" t="s">
        <v>14</v>
      </c>
      <c r="E231" s="5" t="str">
        <f>VLOOKUP(D231,Lookup!$A$2:$C$9,2,FALSE())</f>
        <v>Hypnotics &amp; sedatives</v>
      </c>
      <c r="F231" s="6">
        <v>18</v>
      </c>
      <c r="G231" s="5" t="str">
        <f t="shared" si="11"/>
        <v>No</v>
      </c>
      <c r="H231" t="str">
        <f>INDEX(Lookup!$C$2:$C$9,MATCH(tblSales[[#This Row],[Category Code]],Lookup!$A$2:$A$9,0))</f>
        <v>Nervous system</v>
      </c>
    </row>
    <row r="232" spans="1:8" x14ac:dyDescent="0.25">
      <c r="A232" s="4">
        <v>42521</v>
      </c>
      <c r="B232" s="5">
        <f t="shared" si="9"/>
        <v>2016</v>
      </c>
      <c r="C232" s="5">
        <f t="shared" si="10"/>
        <v>5</v>
      </c>
      <c r="D232" s="5" t="s">
        <v>15</v>
      </c>
      <c r="E232" s="5" t="str">
        <f>VLOOKUP(D232,Lookup!$A$2:$C$9,2,FALSE())</f>
        <v>Airway disease drugs</v>
      </c>
      <c r="F232" s="6">
        <v>131</v>
      </c>
      <c r="G232" s="5" t="str">
        <f t="shared" si="11"/>
        <v>No</v>
      </c>
      <c r="H232" t="str">
        <f>INDEX(Lookup!$C$2:$C$9,MATCH(tblSales[[#This Row],[Category Code]],Lookup!$A$2:$A$9,0))</f>
        <v>Respiratory system</v>
      </c>
    </row>
    <row r="233" spans="1:8" x14ac:dyDescent="0.25">
      <c r="A233" s="4">
        <v>42521</v>
      </c>
      <c r="B233" s="5">
        <f t="shared" si="9"/>
        <v>2016</v>
      </c>
      <c r="C233" s="5">
        <f t="shared" si="10"/>
        <v>5</v>
      </c>
      <c r="D233" s="5" t="s">
        <v>16</v>
      </c>
      <c r="E233" s="5" t="str">
        <f>VLOOKUP(D233,Lookup!$A$2:$C$9,2,FALSE())</f>
        <v>Antihistamines</v>
      </c>
      <c r="F233" s="6">
        <v>137.1</v>
      </c>
      <c r="G233" s="5" t="str">
        <f t="shared" si="11"/>
        <v>No</v>
      </c>
      <c r="H233" t="str">
        <f>INDEX(Lookup!$C$2:$C$9,MATCH(tblSales[[#This Row],[Category Code]],Lookup!$A$2:$A$9,0))</f>
        <v>Respiratory system</v>
      </c>
    </row>
    <row r="234" spans="1:8" x14ac:dyDescent="0.25">
      <c r="A234" s="4">
        <v>42551</v>
      </c>
      <c r="B234" s="5">
        <f t="shared" si="9"/>
        <v>2016</v>
      </c>
      <c r="C234" s="5">
        <f t="shared" si="10"/>
        <v>6</v>
      </c>
      <c r="D234" s="5" t="s">
        <v>9</v>
      </c>
      <c r="E234" s="5" t="str">
        <f>VLOOKUP(D234,Lookup!$A$2:$C$9,2,FALSE())</f>
        <v>Anti-inflammatory (acetic acid)</v>
      </c>
      <c r="F234" s="6">
        <v>169.67</v>
      </c>
      <c r="G234" s="5" t="str">
        <f t="shared" si="11"/>
        <v>No</v>
      </c>
      <c r="H234" t="str">
        <f>INDEX(Lookup!$C$2:$C$9,MATCH(tblSales[[#This Row],[Category Code]],Lookup!$A$2:$A$9,0))</f>
        <v>Musculo-skeletal system</v>
      </c>
    </row>
    <row r="235" spans="1:8" x14ac:dyDescent="0.25">
      <c r="A235" s="4">
        <v>42551</v>
      </c>
      <c r="B235" s="5">
        <f t="shared" si="9"/>
        <v>2016</v>
      </c>
      <c r="C235" s="5">
        <f t="shared" si="10"/>
        <v>6</v>
      </c>
      <c r="D235" s="5" t="s">
        <v>10</v>
      </c>
      <c r="E235" s="5" t="str">
        <f>VLOOKUP(D235,Lookup!$A$2:$C$9,2,FALSE())</f>
        <v>Anti-inflammatory (propionic acid)</v>
      </c>
      <c r="F235" s="6">
        <v>114.96</v>
      </c>
      <c r="G235" s="5" t="str">
        <f t="shared" si="11"/>
        <v>No</v>
      </c>
      <c r="H235" t="str">
        <f>INDEX(Lookup!$C$2:$C$9,MATCH(tblSales[[#This Row],[Category Code]],Lookup!$A$2:$A$9,0))</f>
        <v>Musculo-skeletal system</v>
      </c>
    </row>
    <row r="236" spans="1:8" x14ac:dyDescent="0.25">
      <c r="A236" s="4">
        <v>42551</v>
      </c>
      <c r="B236" s="5">
        <f t="shared" si="9"/>
        <v>2016</v>
      </c>
      <c r="C236" s="5">
        <f t="shared" si="10"/>
        <v>6</v>
      </c>
      <c r="D236" s="5" t="s">
        <v>11</v>
      </c>
      <c r="E236" s="5" t="str">
        <f>VLOOKUP(D236,Lookup!$A$2:$C$9,2,FALSE())</f>
        <v>Analgesic (salicylic acid)</v>
      </c>
      <c r="F236" s="6">
        <v>117.75</v>
      </c>
      <c r="G236" s="5" t="str">
        <f t="shared" si="11"/>
        <v>No</v>
      </c>
      <c r="H236" t="str">
        <f>INDEX(Lookup!$C$2:$C$9,MATCH(tblSales[[#This Row],[Category Code]],Lookup!$A$2:$A$9,0))</f>
        <v>Nervous system</v>
      </c>
    </row>
    <row r="237" spans="1:8" x14ac:dyDescent="0.25">
      <c r="A237" s="4">
        <v>42551</v>
      </c>
      <c r="B237" s="5">
        <f t="shared" si="9"/>
        <v>2016</v>
      </c>
      <c r="C237" s="5">
        <f t="shared" si="10"/>
        <v>6</v>
      </c>
      <c r="D237" s="5" t="s">
        <v>12</v>
      </c>
      <c r="E237" s="5" t="str">
        <f>VLOOKUP(D237,Lookup!$A$2:$C$9,2,FALSE())</f>
        <v>Analgesic (paracetamol-type)</v>
      </c>
      <c r="F237" s="6">
        <v>760.05</v>
      </c>
      <c r="G237" s="5" t="str">
        <f t="shared" si="11"/>
        <v>No</v>
      </c>
      <c r="H237" t="str">
        <f>INDEX(Lookup!$C$2:$C$9,MATCH(tblSales[[#This Row],[Category Code]],Lookup!$A$2:$A$9,0))</f>
        <v>Nervous system</v>
      </c>
    </row>
    <row r="238" spans="1:8" x14ac:dyDescent="0.25">
      <c r="A238" s="4">
        <v>42551</v>
      </c>
      <c r="B238" s="5">
        <f t="shared" si="9"/>
        <v>2016</v>
      </c>
      <c r="C238" s="5">
        <f t="shared" si="10"/>
        <v>6</v>
      </c>
      <c r="D238" s="5" t="s">
        <v>13</v>
      </c>
      <c r="E238" s="5" t="str">
        <f>VLOOKUP(D238,Lookup!$A$2:$C$9,2,FALSE())</f>
        <v>Anxiolytics</v>
      </c>
      <c r="F238" s="6">
        <v>280.5</v>
      </c>
      <c r="G238" s="5" t="str">
        <f t="shared" si="11"/>
        <v>No</v>
      </c>
      <c r="H238" t="str">
        <f>INDEX(Lookup!$C$2:$C$9,MATCH(tblSales[[#This Row],[Category Code]],Lookup!$A$2:$A$9,0))</f>
        <v>Nervous system</v>
      </c>
    </row>
    <row r="239" spans="1:8" x14ac:dyDescent="0.25">
      <c r="A239" s="4">
        <v>42551</v>
      </c>
      <c r="B239" s="5">
        <f t="shared" si="9"/>
        <v>2016</v>
      </c>
      <c r="C239" s="5">
        <f t="shared" si="10"/>
        <v>6</v>
      </c>
      <c r="D239" s="5" t="s">
        <v>14</v>
      </c>
      <c r="E239" s="5" t="str">
        <f>VLOOKUP(D239,Lookup!$A$2:$C$9,2,FALSE())</f>
        <v>Hypnotics &amp; sedatives</v>
      </c>
      <c r="F239" s="6">
        <v>20</v>
      </c>
      <c r="G239" s="5" t="str">
        <f t="shared" si="11"/>
        <v>No</v>
      </c>
      <c r="H239" t="str">
        <f>INDEX(Lookup!$C$2:$C$9,MATCH(tblSales[[#This Row],[Category Code]],Lookup!$A$2:$A$9,0))</f>
        <v>Nervous system</v>
      </c>
    </row>
    <row r="240" spans="1:8" x14ac:dyDescent="0.25">
      <c r="A240" s="4">
        <v>42551</v>
      </c>
      <c r="B240" s="5">
        <f t="shared" si="9"/>
        <v>2016</v>
      </c>
      <c r="C240" s="5">
        <f t="shared" si="10"/>
        <v>6</v>
      </c>
      <c r="D240" s="5" t="s">
        <v>15</v>
      </c>
      <c r="E240" s="5" t="str">
        <f>VLOOKUP(D240,Lookup!$A$2:$C$9,2,FALSE())</f>
        <v>Airway disease drugs</v>
      </c>
      <c r="F240" s="6">
        <v>127</v>
      </c>
      <c r="G240" s="5" t="str">
        <f t="shared" si="11"/>
        <v>No</v>
      </c>
      <c r="H240" t="str">
        <f>INDEX(Lookup!$C$2:$C$9,MATCH(tblSales[[#This Row],[Category Code]],Lookup!$A$2:$A$9,0))</f>
        <v>Respiratory system</v>
      </c>
    </row>
    <row r="241" spans="1:8" x14ac:dyDescent="0.25">
      <c r="A241" s="4">
        <v>42551</v>
      </c>
      <c r="B241" s="5">
        <f t="shared" si="9"/>
        <v>2016</v>
      </c>
      <c r="C241" s="5">
        <f t="shared" si="10"/>
        <v>6</v>
      </c>
      <c r="D241" s="5" t="s">
        <v>16</v>
      </c>
      <c r="E241" s="5" t="str">
        <f>VLOOKUP(D241,Lookup!$A$2:$C$9,2,FALSE())</f>
        <v>Antihistamines</v>
      </c>
      <c r="F241" s="6">
        <v>134.80000000000001</v>
      </c>
      <c r="G241" s="5" t="str">
        <f t="shared" si="11"/>
        <v>No</v>
      </c>
      <c r="H241" t="str">
        <f>INDEX(Lookup!$C$2:$C$9,MATCH(tblSales[[#This Row],[Category Code]],Lookup!$A$2:$A$9,0))</f>
        <v>Respiratory system</v>
      </c>
    </row>
    <row r="242" spans="1:8" x14ac:dyDescent="0.25">
      <c r="A242" s="4">
        <v>42582</v>
      </c>
      <c r="B242" s="5">
        <f t="shared" si="9"/>
        <v>2016</v>
      </c>
      <c r="C242" s="5">
        <f t="shared" si="10"/>
        <v>7</v>
      </c>
      <c r="D242" s="5" t="s">
        <v>9</v>
      </c>
      <c r="E242" s="5" t="str">
        <f>VLOOKUP(D242,Lookup!$A$2:$C$9,2,FALSE())</f>
        <v>Anti-inflammatory (acetic acid)</v>
      </c>
      <c r="F242" s="6">
        <v>194.53</v>
      </c>
      <c r="G242" s="5" t="str">
        <f t="shared" si="11"/>
        <v>No</v>
      </c>
      <c r="H242" t="str">
        <f>INDEX(Lookup!$C$2:$C$9,MATCH(tblSales[[#This Row],[Category Code]],Lookup!$A$2:$A$9,0))</f>
        <v>Musculo-skeletal system</v>
      </c>
    </row>
    <row r="243" spans="1:8" x14ac:dyDescent="0.25">
      <c r="A243" s="4">
        <v>42582</v>
      </c>
      <c r="B243" s="5">
        <f t="shared" si="9"/>
        <v>2016</v>
      </c>
      <c r="C243" s="5">
        <f t="shared" si="10"/>
        <v>7</v>
      </c>
      <c r="D243" s="5" t="s">
        <v>10</v>
      </c>
      <c r="E243" s="5" t="str">
        <f>VLOOKUP(D243,Lookup!$A$2:$C$9,2,FALSE())</f>
        <v>Anti-inflammatory (propionic acid)</v>
      </c>
      <c r="F243" s="6">
        <v>141.02000000000001</v>
      </c>
      <c r="G243" s="5" t="str">
        <f t="shared" si="11"/>
        <v>No</v>
      </c>
      <c r="H243" t="str">
        <f>INDEX(Lookup!$C$2:$C$9,MATCH(tblSales[[#This Row],[Category Code]],Lookup!$A$2:$A$9,0))</f>
        <v>Musculo-skeletal system</v>
      </c>
    </row>
    <row r="244" spans="1:8" x14ac:dyDescent="0.25">
      <c r="A244" s="4">
        <v>42582</v>
      </c>
      <c r="B244" s="5">
        <f t="shared" si="9"/>
        <v>2016</v>
      </c>
      <c r="C244" s="5">
        <f t="shared" si="10"/>
        <v>7</v>
      </c>
      <c r="D244" s="5" t="s">
        <v>11</v>
      </c>
      <c r="E244" s="5" t="str">
        <f>VLOOKUP(D244,Lookup!$A$2:$C$9,2,FALSE())</f>
        <v>Analgesic (salicylic acid)</v>
      </c>
      <c r="F244" s="6">
        <v>137.9</v>
      </c>
      <c r="G244" s="5" t="str">
        <f t="shared" si="11"/>
        <v>No</v>
      </c>
      <c r="H244" t="str">
        <f>INDEX(Lookup!$C$2:$C$9,MATCH(tblSales[[#This Row],[Category Code]],Lookup!$A$2:$A$9,0))</f>
        <v>Nervous system</v>
      </c>
    </row>
    <row r="245" spans="1:8" x14ac:dyDescent="0.25">
      <c r="A245" s="4">
        <v>42582</v>
      </c>
      <c r="B245" s="5">
        <f t="shared" si="9"/>
        <v>2016</v>
      </c>
      <c r="C245" s="5">
        <f t="shared" si="10"/>
        <v>7</v>
      </c>
      <c r="D245" s="5" t="s">
        <v>12</v>
      </c>
      <c r="E245" s="5" t="str">
        <f>VLOOKUP(D245,Lookup!$A$2:$C$9,2,FALSE())</f>
        <v>Analgesic (paracetamol-type)</v>
      </c>
      <c r="F245" s="6">
        <v>652.36</v>
      </c>
      <c r="G245" s="5" t="str">
        <f t="shared" si="11"/>
        <v>No</v>
      </c>
      <c r="H245" t="str">
        <f>INDEX(Lookup!$C$2:$C$9,MATCH(tblSales[[#This Row],[Category Code]],Lookup!$A$2:$A$9,0))</f>
        <v>Nervous system</v>
      </c>
    </row>
    <row r="246" spans="1:8" x14ac:dyDescent="0.25">
      <c r="A246" s="4">
        <v>42582</v>
      </c>
      <c r="B246" s="5">
        <f t="shared" si="9"/>
        <v>2016</v>
      </c>
      <c r="C246" s="5">
        <f t="shared" si="10"/>
        <v>7</v>
      </c>
      <c r="D246" s="5" t="s">
        <v>13</v>
      </c>
      <c r="E246" s="5" t="str">
        <f>VLOOKUP(D246,Lookup!$A$2:$C$9,2,FALSE())</f>
        <v>Anxiolytics</v>
      </c>
      <c r="F246" s="6">
        <v>240</v>
      </c>
      <c r="G246" s="5" t="str">
        <f t="shared" si="11"/>
        <v>No</v>
      </c>
      <c r="H246" t="str">
        <f>INDEX(Lookup!$C$2:$C$9,MATCH(tblSales[[#This Row],[Category Code]],Lookup!$A$2:$A$9,0))</f>
        <v>Nervous system</v>
      </c>
    </row>
    <row r="247" spans="1:8" x14ac:dyDescent="0.25">
      <c r="A247" s="4">
        <v>42582</v>
      </c>
      <c r="B247" s="5">
        <f t="shared" si="9"/>
        <v>2016</v>
      </c>
      <c r="C247" s="5">
        <f t="shared" si="10"/>
        <v>7</v>
      </c>
      <c r="D247" s="5" t="s">
        <v>14</v>
      </c>
      <c r="E247" s="5" t="str">
        <f>VLOOKUP(D247,Lookup!$A$2:$C$9,2,FALSE())</f>
        <v>Hypnotics &amp; sedatives</v>
      </c>
      <c r="F247" s="6">
        <v>8</v>
      </c>
      <c r="G247" s="5" t="str">
        <f t="shared" si="11"/>
        <v>No</v>
      </c>
      <c r="H247" t="str">
        <f>INDEX(Lookup!$C$2:$C$9,MATCH(tblSales[[#This Row],[Category Code]],Lookup!$A$2:$A$9,0))</f>
        <v>Nervous system</v>
      </c>
    </row>
    <row r="248" spans="1:8" x14ac:dyDescent="0.25">
      <c r="A248" s="4">
        <v>42582</v>
      </c>
      <c r="B248" s="5">
        <f t="shared" si="9"/>
        <v>2016</v>
      </c>
      <c r="C248" s="5">
        <f t="shared" si="10"/>
        <v>7</v>
      </c>
      <c r="D248" s="5" t="s">
        <v>15</v>
      </c>
      <c r="E248" s="5" t="str">
        <f>VLOOKUP(D248,Lookup!$A$2:$C$9,2,FALSE())</f>
        <v>Airway disease drugs</v>
      </c>
      <c r="F248" s="6">
        <v>109</v>
      </c>
      <c r="G248" s="5" t="str">
        <f t="shared" si="11"/>
        <v>No</v>
      </c>
      <c r="H248" t="str">
        <f>INDEX(Lookup!$C$2:$C$9,MATCH(tblSales[[#This Row],[Category Code]],Lookup!$A$2:$A$9,0))</f>
        <v>Respiratory system</v>
      </c>
    </row>
    <row r="249" spans="1:8" x14ac:dyDescent="0.25">
      <c r="A249" s="4">
        <v>42582</v>
      </c>
      <c r="B249" s="5">
        <f t="shared" si="9"/>
        <v>2016</v>
      </c>
      <c r="C249" s="5">
        <f t="shared" si="10"/>
        <v>7</v>
      </c>
      <c r="D249" s="5" t="s">
        <v>16</v>
      </c>
      <c r="E249" s="5" t="str">
        <f>VLOOKUP(D249,Lookup!$A$2:$C$9,2,FALSE())</f>
        <v>Antihistamines</v>
      </c>
      <c r="F249" s="6">
        <v>116.83</v>
      </c>
      <c r="G249" s="5" t="str">
        <f t="shared" si="11"/>
        <v>No</v>
      </c>
      <c r="H249" t="str">
        <f>INDEX(Lookup!$C$2:$C$9,MATCH(tblSales[[#This Row],[Category Code]],Lookup!$A$2:$A$9,0))</f>
        <v>Respiratory system</v>
      </c>
    </row>
    <row r="250" spans="1:8" x14ac:dyDescent="0.25">
      <c r="A250" s="4">
        <v>42613</v>
      </c>
      <c r="B250" s="5">
        <f t="shared" si="9"/>
        <v>2016</v>
      </c>
      <c r="C250" s="5">
        <f t="shared" si="10"/>
        <v>8</v>
      </c>
      <c r="D250" s="5" t="s">
        <v>9</v>
      </c>
      <c r="E250" s="5" t="str">
        <f>VLOOKUP(D250,Lookup!$A$2:$C$9,2,FALSE())</f>
        <v>Anti-inflammatory (acetic acid)</v>
      </c>
      <c r="F250" s="6">
        <v>211.13</v>
      </c>
      <c r="G250" s="5" t="str">
        <f t="shared" si="11"/>
        <v>No</v>
      </c>
      <c r="H250" t="str">
        <f>INDEX(Lookup!$C$2:$C$9,MATCH(tblSales[[#This Row],[Category Code]],Lookup!$A$2:$A$9,0))</f>
        <v>Musculo-skeletal system</v>
      </c>
    </row>
    <row r="251" spans="1:8" x14ac:dyDescent="0.25">
      <c r="A251" s="4">
        <v>42613</v>
      </c>
      <c r="B251" s="5">
        <f t="shared" si="9"/>
        <v>2016</v>
      </c>
      <c r="C251" s="5">
        <f t="shared" si="10"/>
        <v>8</v>
      </c>
      <c r="D251" s="5" t="s">
        <v>10</v>
      </c>
      <c r="E251" s="5" t="str">
        <f>VLOOKUP(D251,Lookup!$A$2:$C$9,2,FALSE())</f>
        <v>Anti-inflammatory (propionic acid)</v>
      </c>
      <c r="F251" s="6">
        <v>114.38</v>
      </c>
      <c r="G251" s="5" t="str">
        <f t="shared" si="11"/>
        <v>No</v>
      </c>
      <c r="H251" t="str">
        <f>INDEX(Lookup!$C$2:$C$9,MATCH(tblSales[[#This Row],[Category Code]],Lookup!$A$2:$A$9,0))</f>
        <v>Musculo-skeletal system</v>
      </c>
    </row>
    <row r="252" spans="1:8" x14ac:dyDescent="0.25">
      <c r="A252" s="4">
        <v>42613</v>
      </c>
      <c r="B252" s="5">
        <f t="shared" si="9"/>
        <v>2016</v>
      </c>
      <c r="C252" s="5">
        <f t="shared" si="10"/>
        <v>8</v>
      </c>
      <c r="D252" s="5" t="s">
        <v>11</v>
      </c>
      <c r="E252" s="5" t="str">
        <f>VLOOKUP(D252,Lookup!$A$2:$C$9,2,FALSE())</f>
        <v>Analgesic (salicylic acid)</v>
      </c>
      <c r="F252" s="6">
        <v>132.69999999999999</v>
      </c>
      <c r="G252" s="5" t="str">
        <f t="shared" si="11"/>
        <v>No</v>
      </c>
      <c r="H252" t="str">
        <f>INDEX(Lookup!$C$2:$C$9,MATCH(tblSales[[#This Row],[Category Code]],Lookup!$A$2:$A$9,0))</f>
        <v>Nervous system</v>
      </c>
    </row>
    <row r="253" spans="1:8" x14ac:dyDescent="0.25">
      <c r="A253" s="4">
        <v>42613</v>
      </c>
      <c r="B253" s="5">
        <f t="shared" si="9"/>
        <v>2016</v>
      </c>
      <c r="C253" s="5">
        <f t="shared" si="10"/>
        <v>8</v>
      </c>
      <c r="D253" s="5" t="s">
        <v>12</v>
      </c>
      <c r="E253" s="5" t="str">
        <f>VLOOKUP(D253,Lookup!$A$2:$C$9,2,FALSE())</f>
        <v>Analgesic (paracetamol-type)</v>
      </c>
      <c r="F253" s="6">
        <v>686.38</v>
      </c>
      <c r="G253" s="5" t="str">
        <f t="shared" si="11"/>
        <v>No</v>
      </c>
      <c r="H253" t="str">
        <f>INDEX(Lookup!$C$2:$C$9,MATCH(tblSales[[#This Row],[Category Code]],Lookup!$A$2:$A$9,0))</f>
        <v>Nervous system</v>
      </c>
    </row>
    <row r="254" spans="1:8" x14ac:dyDescent="0.25">
      <c r="A254" s="4">
        <v>42613</v>
      </c>
      <c r="B254" s="5">
        <f t="shared" si="9"/>
        <v>2016</v>
      </c>
      <c r="C254" s="5">
        <f t="shared" si="10"/>
        <v>8</v>
      </c>
      <c r="D254" s="5" t="s">
        <v>13</v>
      </c>
      <c r="E254" s="5" t="str">
        <f>VLOOKUP(D254,Lookup!$A$2:$C$9,2,FALSE())</f>
        <v>Anxiolytics</v>
      </c>
      <c r="F254" s="6">
        <v>275.5</v>
      </c>
      <c r="G254" s="5" t="str">
        <f t="shared" si="11"/>
        <v>No</v>
      </c>
      <c r="H254" t="str">
        <f>INDEX(Lookup!$C$2:$C$9,MATCH(tblSales[[#This Row],[Category Code]],Lookup!$A$2:$A$9,0))</f>
        <v>Nervous system</v>
      </c>
    </row>
    <row r="255" spans="1:8" x14ac:dyDescent="0.25">
      <c r="A255" s="4">
        <v>42613</v>
      </c>
      <c r="B255" s="5">
        <f t="shared" si="9"/>
        <v>2016</v>
      </c>
      <c r="C255" s="5">
        <f t="shared" si="10"/>
        <v>8</v>
      </c>
      <c r="D255" s="5" t="s">
        <v>14</v>
      </c>
      <c r="E255" s="5" t="str">
        <f>VLOOKUP(D255,Lookup!$A$2:$C$9,2,FALSE())</f>
        <v>Hypnotics &amp; sedatives</v>
      </c>
      <c r="F255" s="6">
        <v>12</v>
      </c>
      <c r="G255" s="5" t="str">
        <f t="shared" si="11"/>
        <v>No</v>
      </c>
      <c r="H255" t="str">
        <f>INDEX(Lookup!$C$2:$C$9,MATCH(tblSales[[#This Row],[Category Code]],Lookup!$A$2:$A$9,0))</f>
        <v>Nervous system</v>
      </c>
    </row>
    <row r="256" spans="1:8" x14ac:dyDescent="0.25">
      <c r="A256" s="4">
        <v>42613</v>
      </c>
      <c r="B256" s="5">
        <f t="shared" si="9"/>
        <v>2016</v>
      </c>
      <c r="C256" s="5">
        <f t="shared" si="10"/>
        <v>8</v>
      </c>
      <c r="D256" s="5" t="s">
        <v>15</v>
      </c>
      <c r="E256" s="5" t="str">
        <f>VLOOKUP(D256,Lookup!$A$2:$C$9,2,FALSE())</f>
        <v>Airway disease drugs</v>
      </c>
      <c r="F256" s="6">
        <v>116</v>
      </c>
      <c r="G256" s="5" t="str">
        <f t="shared" si="11"/>
        <v>No</v>
      </c>
      <c r="H256" t="str">
        <f>INDEX(Lookup!$C$2:$C$9,MATCH(tblSales[[#This Row],[Category Code]],Lookup!$A$2:$A$9,0))</f>
        <v>Respiratory system</v>
      </c>
    </row>
    <row r="257" spans="1:8" x14ac:dyDescent="0.25">
      <c r="A257" s="4">
        <v>42613</v>
      </c>
      <c r="B257" s="5">
        <f t="shared" si="9"/>
        <v>2016</v>
      </c>
      <c r="C257" s="5">
        <f t="shared" si="10"/>
        <v>8</v>
      </c>
      <c r="D257" s="5" t="s">
        <v>16</v>
      </c>
      <c r="E257" s="5" t="str">
        <f>VLOOKUP(D257,Lookup!$A$2:$C$9,2,FALSE())</f>
        <v>Antihistamines</v>
      </c>
      <c r="F257" s="6">
        <v>85.3</v>
      </c>
      <c r="G257" s="5" t="str">
        <f t="shared" si="11"/>
        <v>No</v>
      </c>
      <c r="H257" t="str">
        <f>INDEX(Lookup!$C$2:$C$9,MATCH(tblSales[[#This Row],[Category Code]],Lookup!$A$2:$A$9,0))</f>
        <v>Respiratory system</v>
      </c>
    </row>
    <row r="258" spans="1:8" x14ac:dyDescent="0.25">
      <c r="A258" s="4">
        <v>42643</v>
      </c>
      <c r="B258" s="5">
        <f t="shared" ref="B258:B321" si="12">YEAR(A258)</f>
        <v>2016</v>
      </c>
      <c r="C258" s="5">
        <f t="shared" ref="C258:C321" si="13">MONTH(A258)</f>
        <v>9</v>
      </c>
      <c r="D258" s="5" t="s">
        <v>9</v>
      </c>
      <c r="E258" s="5" t="str">
        <f>VLOOKUP(D258,Lookup!$A$2:$C$9,2,FALSE())</f>
        <v>Anti-inflammatory (acetic acid)</v>
      </c>
      <c r="F258" s="6">
        <v>172.96</v>
      </c>
      <c r="G258" s="5" t="str">
        <f t="shared" ref="G258:G321" si="14">IF(A258=DATE(2019,10,31),"Yes","No")</f>
        <v>No</v>
      </c>
      <c r="H258" t="str">
        <f>INDEX(Lookup!$C$2:$C$9,MATCH(tblSales[[#This Row],[Category Code]],Lookup!$A$2:$A$9,0))</f>
        <v>Musculo-skeletal system</v>
      </c>
    </row>
    <row r="259" spans="1:8" x14ac:dyDescent="0.25">
      <c r="A259" s="4">
        <v>42643</v>
      </c>
      <c r="B259" s="5">
        <f t="shared" si="12"/>
        <v>2016</v>
      </c>
      <c r="C259" s="5">
        <f t="shared" si="13"/>
        <v>9</v>
      </c>
      <c r="D259" s="5" t="s">
        <v>10</v>
      </c>
      <c r="E259" s="5" t="str">
        <f>VLOOKUP(D259,Lookup!$A$2:$C$9,2,FALSE())</f>
        <v>Anti-inflammatory (propionic acid)</v>
      </c>
      <c r="F259" s="6">
        <v>126.22</v>
      </c>
      <c r="G259" s="5" t="str">
        <f t="shared" si="14"/>
        <v>No</v>
      </c>
      <c r="H259" t="str">
        <f>INDEX(Lookup!$C$2:$C$9,MATCH(tblSales[[#This Row],[Category Code]],Lookup!$A$2:$A$9,0))</f>
        <v>Musculo-skeletal system</v>
      </c>
    </row>
    <row r="260" spans="1:8" x14ac:dyDescent="0.25">
      <c r="A260" s="4">
        <v>42643</v>
      </c>
      <c r="B260" s="5">
        <f t="shared" si="12"/>
        <v>2016</v>
      </c>
      <c r="C260" s="5">
        <f t="shared" si="13"/>
        <v>9</v>
      </c>
      <c r="D260" s="5" t="s">
        <v>11</v>
      </c>
      <c r="E260" s="5" t="str">
        <f>VLOOKUP(D260,Lookup!$A$2:$C$9,2,FALSE())</f>
        <v>Analgesic (salicylic acid)</v>
      </c>
      <c r="F260" s="6">
        <v>116.7</v>
      </c>
      <c r="G260" s="5" t="str">
        <f t="shared" si="14"/>
        <v>No</v>
      </c>
      <c r="H260" t="str">
        <f>INDEX(Lookup!$C$2:$C$9,MATCH(tblSales[[#This Row],[Category Code]],Lookup!$A$2:$A$9,0))</f>
        <v>Nervous system</v>
      </c>
    </row>
    <row r="261" spans="1:8" x14ac:dyDescent="0.25">
      <c r="A261" s="4">
        <v>42643</v>
      </c>
      <c r="B261" s="5">
        <f t="shared" si="12"/>
        <v>2016</v>
      </c>
      <c r="C261" s="5">
        <f t="shared" si="13"/>
        <v>9</v>
      </c>
      <c r="D261" s="5" t="s">
        <v>12</v>
      </c>
      <c r="E261" s="5" t="str">
        <f>VLOOKUP(D261,Lookup!$A$2:$C$9,2,FALSE())</f>
        <v>Analgesic (paracetamol-type)</v>
      </c>
      <c r="F261" s="6">
        <v>1118.7</v>
      </c>
      <c r="G261" s="5" t="str">
        <f t="shared" si="14"/>
        <v>No</v>
      </c>
      <c r="H261" t="str">
        <f>INDEX(Lookup!$C$2:$C$9,MATCH(tblSales[[#This Row],[Category Code]],Lookup!$A$2:$A$9,0))</f>
        <v>Nervous system</v>
      </c>
    </row>
    <row r="262" spans="1:8" x14ac:dyDescent="0.25">
      <c r="A262" s="4">
        <v>42643</v>
      </c>
      <c r="B262" s="5">
        <f t="shared" si="12"/>
        <v>2016</v>
      </c>
      <c r="C262" s="5">
        <f t="shared" si="13"/>
        <v>9</v>
      </c>
      <c r="D262" s="5" t="s">
        <v>13</v>
      </c>
      <c r="E262" s="5" t="str">
        <f>VLOOKUP(D262,Lookup!$A$2:$C$9,2,FALSE())</f>
        <v>Anxiolytics</v>
      </c>
      <c r="F262" s="6">
        <v>307</v>
      </c>
      <c r="G262" s="5" t="str">
        <f t="shared" si="14"/>
        <v>No</v>
      </c>
      <c r="H262" t="str">
        <f>INDEX(Lookup!$C$2:$C$9,MATCH(tblSales[[#This Row],[Category Code]],Lookup!$A$2:$A$9,0))</f>
        <v>Nervous system</v>
      </c>
    </row>
    <row r="263" spans="1:8" x14ac:dyDescent="0.25">
      <c r="A263" s="4">
        <v>42643</v>
      </c>
      <c r="B263" s="5">
        <f t="shared" si="12"/>
        <v>2016</v>
      </c>
      <c r="C263" s="5">
        <f t="shared" si="13"/>
        <v>9</v>
      </c>
      <c r="D263" s="5" t="s">
        <v>14</v>
      </c>
      <c r="E263" s="5" t="str">
        <f>VLOOKUP(D263,Lookup!$A$2:$C$9,2,FALSE())</f>
        <v>Hypnotics &amp; sedatives</v>
      </c>
      <c r="F263" s="6">
        <v>18</v>
      </c>
      <c r="G263" s="5" t="str">
        <f t="shared" si="14"/>
        <v>No</v>
      </c>
      <c r="H263" t="str">
        <f>INDEX(Lookup!$C$2:$C$9,MATCH(tblSales[[#This Row],[Category Code]],Lookup!$A$2:$A$9,0))</f>
        <v>Nervous system</v>
      </c>
    </row>
    <row r="264" spans="1:8" x14ac:dyDescent="0.25">
      <c r="A264" s="4">
        <v>42643</v>
      </c>
      <c r="B264" s="5">
        <f t="shared" si="12"/>
        <v>2016</v>
      </c>
      <c r="C264" s="5">
        <f t="shared" si="13"/>
        <v>9</v>
      </c>
      <c r="D264" s="5" t="s">
        <v>15</v>
      </c>
      <c r="E264" s="5" t="str">
        <f>VLOOKUP(D264,Lookup!$A$2:$C$9,2,FALSE())</f>
        <v>Airway disease drugs</v>
      </c>
      <c r="F264" s="6">
        <v>121</v>
      </c>
      <c r="G264" s="5" t="str">
        <f t="shared" si="14"/>
        <v>No</v>
      </c>
      <c r="H264" t="str">
        <f>INDEX(Lookup!$C$2:$C$9,MATCH(tblSales[[#This Row],[Category Code]],Lookup!$A$2:$A$9,0))</f>
        <v>Respiratory system</v>
      </c>
    </row>
    <row r="265" spans="1:8" x14ac:dyDescent="0.25">
      <c r="A265" s="4">
        <v>42643</v>
      </c>
      <c r="B265" s="5">
        <f t="shared" si="12"/>
        <v>2016</v>
      </c>
      <c r="C265" s="5">
        <f t="shared" si="13"/>
        <v>9</v>
      </c>
      <c r="D265" s="5" t="s">
        <v>16</v>
      </c>
      <c r="E265" s="5" t="str">
        <f>VLOOKUP(D265,Lookup!$A$2:$C$9,2,FALSE())</f>
        <v>Antihistamines</v>
      </c>
      <c r="F265" s="6">
        <v>69.3</v>
      </c>
      <c r="G265" s="5" t="str">
        <f t="shared" si="14"/>
        <v>No</v>
      </c>
      <c r="H265" t="str">
        <f>INDEX(Lookup!$C$2:$C$9,MATCH(tblSales[[#This Row],[Category Code]],Lookup!$A$2:$A$9,0))</f>
        <v>Respiratory system</v>
      </c>
    </row>
    <row r="266" spans="1:8" x14ac:dyDescent="0.25">
      <c r="A266" s="4">
        <v>42674</v>
      </c>
      <c r="B266" s="5">
        <f t="shared" si="12"/>
        <v>2016</v>
      </c>
      <c r="C266" s="5">
        <f t="shared" si="13"/>
        <v>10</v>
      </c>
      <c r="D266" s="5" t="s">
        <v>9</v>
      </c>
      <c r="E266" s="5" t="str">
        <f>VLOOKUP(D266,Lookup!$A$2:$C$9,2,FALSE())</f>
        <v>Anti-inflammatory (acetic acid)</v>
      </c>
      <c r="F266" s="6">
        <v>186.76</v>
      </c>
      <c r="G266" s="5" t="str">
        <f t="shared" si="14"/>
        <v>No</v>
      </c>
      <c r="H266" t="str">
        <f>INDEX(Lookup!$C$2:$C$9,MATCH(tblSales[[#This Row],[Category Code]],Lookup!$A$2:$A$9,0))</f>
        <v>Musculo-skeletal system</v>
      </c>
    </row>
    <row r="267" spans="1:8" x14ac:dyDescent="0.25">
      <c r="A267" s="4">
        <v>42674</v>
      </c>
      <c r="B267" s="5">
        <f t="shared" si="12"/>
        <v>2016</v>
      </c>
      <c r="C267" s="5">
        <f t="shared" si="13"/>
        <v>10</v>
      </c>
      <c r="D267" s="5" t="s">
        <v>10</v>
      </c>
      <c r="E267" s="5" t="str">
        <f>VLOOKUP(D267,Lookup!$A$2:$C$9,2,FALSE())</f>
        <v>Anti-inflammatory (propionic acid)</v>
      </c>
      <c r="F267" s="6">
        <v>142.06</v>
      </c>
      <c r="G267" s="5" t="str">
        <f t="shared" si="14"/>
        <v>No</v>
      </c>
      <c r="H267" t="str">
        <f>INDEX(Lookup!$C$2:$C$9,MATCH(tblSales[[#This Row],[Category Code]],Lookup!$A$2:$A$9,0))</f>
        <v>Musculo-skeletal system</v>
      </c>
    </row>
    <row r="268" spans="1:8" x14ac:dyDescent="0.25">
      <c r="A268" s="4">
        <v>42674</v>
      </c>
      <c r="B268" s="5">
        <f t="shared" si="12"/>
        <v>2016</v>
      </c>
      <c r="C268" s="5">
        <f t="shared" si="13"/>
        <v>10</v>
      </c>
      <c r="D268" s="5" t="s">
        <v>11</v>
      </c>
      <c r="E268" s="5" t="str">
        <f>VLOOKUP(D268,Lookup!$A$2:$C$9,2,FALSE())</f>
        <v>Analgesic (salicylic acid)</v>
      </c>
      <c r="F268" s="6">
        <v>160.15</v>
      </c>
      <c r="G268" s="5" t="str">
        <f t="shared" si="14"/>
        <v>No</v>
      </c>
      <c r="H268" t="str">
        <f>INDEX(Lookup!$C$2:$C$9,MATCH(tblSales[[#This Row],[Category Code]],Lookup!$A$2:$A$9,0))</f>
        <v>Nervous system</v>
      </c>
    </row>
    <row r="269" spans="1:8" x14ac:dyDescent="0.25">
      <c r="A269" s="4">
        <v>42674</v>
      </c>
      <c r="B269" s="5">
        <f t="shared" si="12"/>
        <v>2016</v>
      </c>
      <c r="C269" s="5">
        <f t="shared" si="13"/>
        <v>10</v>
      </c>
      <c r="D269" s="5" t="s">
        <v>12</v>
      </c>
      <c r="E269" s="5" t="str">
        <f>VLOOKUP(D269,Lookup!$A$2:$C$9,2,FALSE())</f>
        <v>Analgesic (paracetamol-type)</v>
      </c>
      <c r="F269" s="6">
        <v>1583.69</v>
      </c>
      <c r="G269" s="5" t="str">
        <f t="shared" si="14"/>
        <v>No</v>
      </c>
      <c r="H269" t="str">
        <f>INDEX(Lookup!$C$2:$C$9,MATCH(tblSales[[#This Row],[Category Code]],Lookup!$A$2:$A$9,0))</f>
        <v>Nervous system</v>
      </c>
    </row>
    <row r="270" spans="1:8" x14ac:dyDescent="0.25">
      <c r="A270" s="4">
        <v>42674</v>
      </c>
      <c r="B270" s="5">
        <f t="shared" si="12"/>
        <v>2016</v>
      </c>
      <c r="C270" s="5">
        <f t="shared" si="13"/>
        <v>10</v>
      </c>
      <c r="D270" s="5" t="s">
        <v>13</v>
      </c>
      <c r="E270" s="5" t="str">
        <f>VLOOKUP(D270,Lookup!$A$2:$C$9,2,FALSE())</f>
        <v>Anxiolytics</v>
      </c>
      <c r="F270" s="6">
        <v>290.83</v>
      </c>
      <c r="G270" s="5" t="str">
        <f t="shared" si="14"/>
        <v>No</v>
      </c>
      <c r="H270" t="str">
        <f>INDEX(Lookup!$C$2:$C$9,MATCH(tblSales[[#This Row],[Category Code]],Lookup!$A$2:$A$9,0))</f>
        <v>Nervous system</v>
      </c>
    </row>
    <row r="271" spans="1:8" x14ac:dyDescent="0.25">
      <c r="A271" s="4">
        <v>42674</v>
      </c>
      <c r="B271" s="5">
        <f t="shared" si="12"/>
        <v>2016</v>
      </c>
      <c r="C271" s="5">
        <f t="shared" si="13"/>
        <v>10</v>
      </c>
      <c r="D271" s="5" t="s">
        <v>14</v>
      </c>
      <c r="E271" s="5" t="str">
        <f>VLOOKUP(D271,Lookup!$A$2:$C$9,2,FALSE())</f>
        <v>Hypnotics &amp; sedatives</v>
      </c>
      <c r="F271" s="6">
        <v>11</v>
      </c>
      <c r="G271" s="5" t="str">
        <f t="shared" si="14"/>
        <v>No</v>
      </c>
      <c r="H271" t="str">
        <f>INDEX(Lookup!$C$2:$C$9,MATCH(tblSales[[#This Row],[Category Code]],Lookup!$A$2:$A$9,0))</f>
        <v>Nervous system</v>
      </c>
    </row>
    <row r="272" spans="1:8" x14ac:dyDescent="0.25">
      <c r="A272" s="4">
        <v>42674</v>
      </c>
      <c r="B272" s="5">
        <f t="shared" si="12"/>
        <v>2016</v>
      </c>
      <c r="C272" s="5">
        <f t="shared" si="13"/>
        <v>10</v>
      </c>
      <c r="D272" s="5" t="s">
        <v>15</v>
      </c>
      <c r="E272" s="5" t="str">
        <f>VLOOKUP(D272,Lookup!$A$2:$C$9,2,FALSE())</f>
        <v>Airway disease drugs</v>
      </c>
      <c r="F272" s="6">
        <v>220</v>
      </c>
      <c r="G272" s="5" t="str">
        <f t="shared" si="14"/>
        <v>No</v>
      </c>
      <c r="H272" t="str">
        <f>INDEX(Lookup!$C$2:$C$9,MATCH(tblSales[[#This Row],[Category Code]],Lookup!$A$2:$A$9,0))</f>
        <v>Respiratory system</v>
      </c>
    </row>
    <row r="273" spans="1:8" x14ac:dyDescent="0.25">
      <c r="A273" s="4">
        <v>42674</v>
      </c>
      <c r="B273" s="5">
        <f t="shared" si="12"/>
        <v>2016</v>
      </c>
      <c r="C273" s="5">
        <f t="shared" si="13"/>
        <v>10</v>
      </c>
      <c r="D273" s="5" t="s">
        <v>16</v>
      </c>
      <c r="E273" s="5" t="str">
        <f>VLOOKUP(D273,Lookup!$A$2:$C$9,2,FALSE())</f>
        <v>Antihistamines</v>
      </c>
      <c r="F273" s="6">
        <v>60.9</v>
      </c>
      <c r="G273" s="5" t="str">
        <f t="shared" si="14"/>
        <v>No</v>
      </c>
      <c r="H273" t="str">
        <f>INDEX(Lookup!$C$2:$C$9,MATCH(tblSales[[#This Row],[Category Code]],Lookup!$A$2:$A$9,0))</f>
        <v>Respiratory system</v>
      </c>
    </row>
    <row r="274" spans="1:8" x14ac:dyDescent="0.25">
      <c r="A274" s="4">
        <v>42704</v>
      </c>
      <c r="B274" s="5">
        <f t="shared" si="12"/>
        <v>2016</v>
      </c>
      <c r="C274" s="5">
        <f t="shared" si="13"/>
        <v>11</v>
      </c>
      <c r="D274" s="5" t="s">
        <v>9</v>
      </c>
      <c r="E274" s="5" t="str">
        <f>VLOOKUP(D274,Lookup!$A$2:$C$9,2,FALSE())</f>
        <v>Anti-inflammatory (acetic acid)</v>
      </c>
      <c r="F274" s="6">
        <v>166.85</v>
      </c>
      <c r="G274" s="5" t="str">
        <f t="shared" si="14"/>
        <v>No</v>
      </c>
      <c r="H274" t="str">
        <f>INDEX(Lookup!$C$2:$C$9,MATCH(tblSales[[#This Row],[Category Code]],Lookup!$A$2:$A$9,0))</f>
        <v>Musculo-skeletal system</v>
      </c>
    </row>
    <row r="275" spans="1:8" x14ac:dyDescent="0.25">
      <c r="A275" s="4">
        <v>42704</v>
      </c>
      <c r="B275" s="5">
        <f t="shared" si="12"/>
        <v>2016</v>
      </c>
      <c r="C275" s="5">
        <f t="shared" si="13"/>
        <v>11</v>
      </c>
      <c r="D275" s="5" t="s">
        <v>10</v>
      </c>
      <c r="E275" s="5" t="str">
        <f>VLOOKUP(D275,Lookup!$A$2:$C$9,2,FALSE())</f>
        <v>Anti-inflammatory (propionic acid)</v>
      </c>
      <c r="F275" s="6">
        <v>116.85</v>
      </c>
      <c r="G275" s="5" t="str">
        <f t="shared" si="14"/>
        <v>No</v>
      </c>
      <c r="H275" t="str">
        <f>INDEX(Lookup!$C$2:$C$9,MATCH(tblSales[[#This Row],[Category Code]],Lookup!$A$2:$A$9,0))</f>
        <v>Musculo-skeletal system</v>
      </c>
    </row>
    <row r="276" spans="1:8" x14ac:dyDescent="0.25">
      <c r="A276" s="4">
        <v>42704</v>
      </c>
      <c r="B276" s="5">
        <f t="shared" si="12"/>
        <v>2016</v>
      </c>
      <c r="C276" s="5">
        <f t="shared" si="13"/>
        <v>11</v>
      </c>
      <c r="D276" s="5" t="s">
        <v>11</v>
      </c>
      <c r="E276" s="5" t="str">
        <f>VLOOKUP(D276,Lookup!$A$2:$C$9,2,FALSE())</f>
        <v>Analgesic (salicylic acid)</v>
      </c>
      <c r="F276" s="6">
        <v>133.85</v>
      </c>
      <c r="G276" s="5" t="str">
        <f t="shared" si="14"/>
        <v>No</v>
      </c>
      <c r="H276" t="str">
        <f>INDEX(Lookup!$C$2:$C$9,MATCH(tblSales[[#This Row],[Category Code]],Lookup!$A$2:$A$9,0))</f>
        <v>Nervous system</v>
      </c>
    </row>
    <row r="277" spans="1:8" x14ac:dyDescent="0.25">
      <c r="A277" s="4">
        <v>42704</v>
      </c>
      <c r="B277" s="5">
        <f t="shared" si="12"/>
        <v>2016</v>
      </c>
      <c r="C277" s="5">
        <f t="shared" si="13"/>
        <v>11</v>
      </c>
      <c r="D277" s="5" t="s">
        <v>12</v>
      </c>
      <c r="E277" s="5" t="str">
        <f>VLOOKUP(D277,Lookup!$A$2:$C$9,2,FALSE())</f>
        <v>Analgesic (paracetamol-type)</v>
      </c>
      <c r="F277" s="6">
        <v>1062.69</v>
      </c>
      <c r="G277" s="5" t="str">
        <f t="shared" si="14"/>
        <v>No</v>
      </c>
      <c r="H277" t="str">
        <f>INDEX(Lookup!$C$2:$C$9,MATCH(tblSales[[#This Row],[Category Code]],Lookup!$A$2:$A$9,0))</f>
        <v>Nervous system</v>
      </c>
    </row>
    <row r="278" spans="1:8" x14ac:dyDescent="0.25">
      <c r="A278" s="4">
        <v>42704</v>
      </c>
      <c r="B278" s="5">
        <f t="shared" si="12"/>
        <v>2016</v>
      </c>
      <c r="C278" s="5">
        <f t="shared" si="13"/>
        <v>11</v>
      </c>
      <c r="D278" s="5" t="s">
        <v>13</v>
      </c>
      <c r="E278" s="5" t="str">
        <f>VLOOKUP(D278,Lookup!$A$2:$C$9,2,FALSE())</f>
        <v>Anxiolytics</v>
      </c>
      <c r="F278" s="6">
        <v>234.17</v>
      </c>
      <c r="G278" s="5" t="str">
        <f t="shared" si="14"/>
        <v>No</v>
      </c>
      <c r="H278" t="str">
        <f>INDEX(Lookup!$C$2:$C$9,MATCH(tblSales[[#This Row],[Category Code]],Lookup!$A$2:$A$9,0))</f>
        <v>Nervous system</v>
      </c>
    </row>
    <row r="279" spans="1:8" x14ac:dyDescent="0.25">
      <c r="A279" s="4">
        <v>42704</v>
      </c>
      <c r="B279" s="5">
        <f t="shared" si="12"/>
        <v>2016</v>
      </c>
      <c r="C279" s="5">
        <f t="shared" si="13"/>
        <v>11</v>
      </c>
      <c r="D279" s="5" t="s">
        <v>14</v>
      </c>
      <c r="E279" s="5" t="str">
        <f>VLOOKUP(D279,Lookup!$A$2:$C$9,2,FALSE())</f>
        <v>Hypnotics &amp; sedatives</v>
      </c>
      <c r="F279" s="6">
        <v>27</v>
      </c>
      <c r="G279" s="5" t="str">
        <f t="shared" si="14"/>
        <v>No</v>
      </c>
      <c r="H279" t="str">
        <f>INDEX(Lookup!$C$2:$C$9,MATCH(tblSales[[#This Row],[Category Code]],Lookup!$A$2:$A$9,0))</f>
        <v>Nervous system</v>
      </c>
    </row>
    <row r="280" spans="1:8" x14ac:dyDescent="0.25">
      <c r="A280" s="4">
        <v>42704</v>
      </c>
      <c r="B280" s="5">
        <f t="shared" si="12"/>
        <v>2016</v>
      </c>
      <c r="C280" s="5">
        <f t="shared" si="13"/>
        <v>11</v>
      </c>
      <c r="D280" s="5" t="s">
        <v>15</v>
      </c>
      <c r="E280" s="5" t="str">
        <f>VLOOKUP(D280,Lookup!$A$2:$C$9,2,FALSE())</f>
        <v>Airway disease drugs</v>
      </c>
      <c r="F280" s="6">
        <v>150</v>
      </c>
      <c r="G280" s="5" t="str">
        <f t="shared" si="14"/>
        <v>No</v>
      </c>
      <c r="H280" t="str">
        <f>INDEX(Lookup!$C$2:$C$9,MATCH(tblSales[[#This Row],[Category Code]],Lookup!$A$2:$A$9,0))</f>
        <v>Respiratory system</v>
      </c>
    </row>
    <row r="281" spans="1:8" x14ac:dyDescent="0.25">
      <c r="A281" s="4">
        <v>42704</v>
      </c>
      <c r="B281" s="5">
        <f t="shared" si="12"/>
        <v>2016</v>
      </c>
      <c r="C281" s="5">
        <f t="shared" si="13"/>
        <v>11</v>
      </c>
      <c r="D281" s="5" t="s">
        <v>16</v>
      </c>
      <c r="E281" s="5" t="str">
        <f>VLOOKUP(D281,Lookup!$A$2:$C$9,2,FALSE())</f>
        <v>Antihistamines</v>
      </c>
      <c r="F281" s="6">
        <v>51.2</v>
      </c>
      <c r="G281" s="5" t="str">
        <f t="shared" si="14"/>
        <v>No</v>
      </c>
      <c r="H281" t="str">
        <f>INDEX(Lookup!$C$2:$C$9,MATCH(tblSales[[#This Row],[Category Code]],Lookup!$A$2:$A$9,0))</f>
        <v>Respiratory system</v>
      </c>
    </row>
    <row r="282" spans="1:8" x14ac:dyDescent="0.25">
      <c r="A282" s="4">
        <v>42735</v>
      </c>
      <c r="B282" s="5">
        <f t="shared" si="12"/>
        <v>2016</v>
      </c>
      <c r="C282" s="5">
        <f t="shared" si="13"/>
        <v>12</v>
      </c>
      <c r="D282" s="5" t="s">
        <v>9</v>
      </c>
      <c r="E282" s="5" t="str">
        <f>VLOOKUP(D282,Lookup!$A$2:$C$9,2,FALSE())</f>
        <v>Anti-inflammatory (acetic acid)</v>
      </c>
      <c r="F282" s="6">
        <v>169.32</v>
      </c>
      <c r="G282" s="5" t="str">
        <f t="shared" si="14"/>
        <v>No</v>
      </c>
      <c r="H282" t="str">
        <f>INDEX(Lookup!$C$2:$C$9,MATCH(tblSales[[#This Row],[Category Code]],Lookup!$A$2:$A$9,0))</f>
        <v>Musculo-skeletal system</v>
      </c>
    </row>
    <row r="283" spans="1:8" x14ac:dyDescent="0.25">
      <c r="A283" s="4">
        <v>42735</v>
      </c>
      <c r="B283" s="5">
        <f t="shared" si="12"/>
        <v>2016</v>
      </c>
      <c r="C283" s="5">
        <f t="shared" si="13"/>
        <v>12</v>
      </c>
      <c r="D283" s="5" t="s">
        <v>10</v>
      </c>
      <c r="E283" s="5" t="str">
        <f>VLOOKUP(D283,Lookup!$A$2:$C$9,2,FALSE())</f>
        <v>Anti-inflammatory (propionic acid)</v>
      </c>
      <c r="F283" s="6">
        <v>135.06</v>
      </c>
      <c r="G283" s="5" t="str">
        <f t="shared" si="14"/>
        <v>No</v>
      </c>
      <c r="H283" t="str">
        <f>INDEX(Lookup!$C$2:$C$9,MATCH(tblSales[[#This Row],[Category Code]],Lookup!$A$2:$A$9,0))</f>
        <v>Musculo-skeletal system</v>
      </c>
    </row>
    <row r="284" spans="1:8" x14ac:dyDescent="0.25">
      <c r="A284" s="4">
        <v>42735</v>
      </c>
      <c r="B284" s="5">
        <f t="shared" si="12"/>
        <v>2016</v>
      </c>
      <c r="C284" s="5">
        <f t="shared" si="13"/>
        <v>12</v>
      </c>
      <c r="D284" s="5" t="s">
        <v>11</v>
      </c>
      <c r="E284" s="5" t="str">
        <f>VLOOKUP(D284,Lookup!$A$2:$C$9,2,FALSE())</f>
        <v>Analgesic (salicylic acid)</v>
      </c>
      <c r="F284" s="6">
        <v>122.82</v>
      </c>
      <c r="G284" s="5" t="str">
        <f t="shared" si="14"/>
        <v>No</v>
      </c>
      <c r="H284" t="str">
        <f>INDEX(Lookup!$C$2:$C$9,MATCH(tblSales[[#This Row],[Category Code]],Lookup!$A$2:$A$9,0))</f>
        <v>Nervous system</v>
      </c>
    </row>
    <row r="285" spans="1:8" x14ac:dyDescent="0.25">
      <c r="A285" s="4">
        <v>42735</v>
      </c>
      <c r="B285" s="5">
        <f t="shared" si="12"/>
        <v>2016</v>
      </c>
      <c r="C285" s="5">
        <f t="shared" si="13"/>
        <v>12</v>
      </c>
      <c r="D285" s="5" t="s">
        <v>12</v>
      </c>
      <c r="E285" s="5" t="str">
        <f>VLOOKUP(D285,Lookup!$A$2:$C$9,2,FALSE())</f>
        <v>Analgesic (paracetamol-type)</v>
      </c>
      <c r="F285" s="6">
        <v>1624.34</v>
      </c>
      <c r="G285" s="5" t="str">
        <f t="shared" si="14"/>
        <v>No</v>
      </c>
      <c r="H285" t="str">
        <f>INDEX(Lookup!$C$2:$C$9,MATCH(tblSales[[#This Row],[Category Code]],Lookup!$A$2:$A$9,0))</f>
        <v>Nervous system</v>
      </c>
    </row>
    <row r="286" spans="1:8" x14ac:dyDescent="0.25">
      <c r="A286" s="4">
        <v>42735</v>
      </c>
      <c r="B286" s="5">
        <f t="shared" si="12"/>
        <v>2016</v>
      </c>
      <c r="C286" s="5">
        <f t="shared" si="13"/>
        <v>12</v>
      </c>
      <c r="D286" s="5" t="s">
        <v>13</v>
      </c>
      <c r="E286" s="5" t="str">
        <f>VLOOKUP(D286,Lookup!$A$2:$C$9,2,FALSE())</f>
        <v>Anxiolytics</v>
      </c>
      <c r="F286" s="6">
        <v>226.33</v>
      </c>
      <c r="G286" s="5" t="str">
        <f t="shared" si="14"/>
        <v>No</v>
      </c>
      <c r="H286" t="str">
        <f>INDEX(Lookup!$C$2:$C$9,MATCH(tblSales[[#This Row],[Category Code]],Lookup!$A$2:$A$9,0))</f>
        <v>Nervous system</v>
      </c>
    </row>
    <row r="287" spans="1:8" x14ac:dyDescent="0.25">
      <c r="A287" s="4">
        <v>42735</v>
      </c>
      <c r="B287" s="5">
        <f t="shared" si="12"/>
        <v>2016</v>
      </c>
      <c r="C287" s="5">
        <f t="shared" si="13"/>
        <v>12</v>
      </c>
      <c r="D287" s="5" t="s">
        <v>14</v>
      </c>
      <c r="E287" s="5" t="str">
        <f>VLOOKUP(D287,Lookup!$A$2:$C$9,2,FALSE())</f>
        <v>Hypnotics &amp; sedatives</v>
      </c>
      <c r="F287" s="6">
        <v>18</v>
      </c>
      <c r="G287" s="5" t="str">
        <f t="shared" si="14"/>
        <v>No</v>
      </c>
      <c r="H287" t="str">
        <f>INDEX(Lookup!$C$2:$C$9,MATCH(tblSales[[#This Row],[Category Code]],Lookup!$A$2:$A$9,0))</f>
        <v>Nervous system</v>
      </c>
    </row>
    <row r="288" spans="1:8" x14ac:dyDescent="0.25">
      <c r="A288" s="4">
        <v>42735</v>
      </c>
      <c r="B288" s="5">
        <f t="shared" si="12"/>
        <v>2016</v>
      </c>
      <c r="C288" s="5">
        <f t="shared" si="13"/>
        <v>12</v>
      </c>
      <c r="D288" s="5" t="s">
        <v>15</v>
      </c>
      <c r="E288" s="5" t="str">
        <f>VLOOKUP(D288,Lookup!$A$2:$C$9,2,FALSE())</f>
        <v>Airway disease drugs</v>
      </c>
      <c r="F288" s="6">
        <v>275</v>
      </c>
      <c r="G288" s="5" t="str">
        <f t="shared" si="14"/>
        <v>No</v>
      </c>
      <c r="H288" t="str">
        <f>INDEX(Lookup!$C$2:$C$9,MATCH(tblSales[[#This Row],[Category Code]],Lookup!$A$2:$A$9,0))</f>
        <v>Respiratory system</v>
      </c>
    </row>
    <row r="289" spans="1:8" x14ac:dyDescent="0.25">
      <c r="A289" s="4">
        <v>42735</v>
      </c>
      <c r="B289" s="5">
        <f t="shared" si="12"/>
        <v>2016</v>
      </c>
      <c r="C289" s="5">
        <f t="shared" si="13"/>
        <v>12</v>
      </c>
      <c r="D289" s="5" t="s">
        <v>16</v>
      </c>
      <c r="E289" s="5" t="str">
        <f>VLOOKUP(D289,Lookup!$A$2:$C$9,2,FALSE())</f>
        <v>Antihistamines</v>
      </c>
      <c r="F289" s="6">
        <v>34.9</v>
      </c>
      <c r="G289" s="5" t="str">
        <f t="shared" si="14"/>
        <v>No</v>
      </c>
      <c r="H289" t="str">
        <f>INDEX(Lookup!$C$2:$C$9,MATCH(tblSales[[#This Row],[Category Code]],Lookup!$A$2:$A$9,0))</f>
        <v>Respiratory system</v>
      </c>
    </row>
    <row r="290" spans="1:8" x14ac:dyDescent="0.25">
      <c r="A290" s="4">
        <v>42766</v>
      </c>
      <c r="B290" s="5">
        <f t="shared" si="12"/>
        <v>2017</v>
      </c>
      <c r="C290" s="5">
        <f t="shared" si="13"/>
        <v>1</v>
      </c>
      <c r="D290" s="5" t="s">
        <v>9</v>
      </c>
      <c r="E290" s="5" t="str">
        <f>VLOOKUP(D290,Lookup!$A$2:$C$9,2,FALSE())</f>
        <v>Anti-inflammatory (acetic acid)</v>
      </c>
      <c r="F290" s="6">
        <v>181.9</v>
      </c>
      <c r="G290" s="5" t="str">
        <f t="shared" si="14"/>
        <v>No</v>
      </c>
      <c r="H290" t="str">
        <f>INDEX(Lookup!$C$2:$C$9,MATCH(tblSales[[#This Row],[Category Code]],Lookup!$A$2:$A$9,0))</f>
        <v>Musculo-skeletal system</v>
      </c>
    </row>
    <row r="291" spans="1:8" x14ac:dyDescent="0.25">
      <c r="A291" s="4">
        <v>42766</v>
      </c>
      <c r="B291" s="5">
        <f t="shared" si="12"/>
        <v>2017</v>
      </c>
      <c r="C291" s="5">
        <f t="shared" si="13"/>
        <v>1</v>
      </c>
      <c r="D291" s="5" t="s">
        <v>10</v>
      </c>
      <c r="E291" s="5" t="str">
        <f>VLOOKUP(D291,Lookup!$A$2:$C$9,2,FALSE())</f>
        <v>Anti-inflammatory (propionic acid)</v>
      </c>
      <c r="F291" s="6">
        <v>150.99</v>
      </c>
      <c r="G291" s="5" t="str">
        <f t="shared" si="14"/>
        <v>No</v>
      </c>
      <c r="H291" t="str">
        <f>INDEX(Lookup!$C$2:$C$9,MATCH(tblSales[[#This Row],[Category Code]],Lookup!$A$2:$A$9,0))</f>
        <v>Musculo-skeletal system</v>
      </c>
    </row>
    <row r="292" spans="1:8" x14ac:dyDescent="0.25">
      <c r="A292" s="4">
        <v>42766</v>
      </c>
      <c r="B292" s="5">
        <f t="shared" si="12"/>
        <v>2017</v>
      </c>
      <c r="C292" s="5">
        <f t="shared" si="13"/>
        <v>1</v>
      </c>
      <c r="D292" s="5" t="s">
        <v>11</v>
      </c>
      <c r="E292" s="5" t="str">
        <f>VLOOKUP(D292,Lookup!$A$2:$C$9,2,FALSE())</f>
        <v>Analgesic (salicylic acid)</v>
      </c>
      <c r="F292" s="6">
        <v>191.27</v>
      </c>
      <c r="G292" s="5" t="str">
        <f t="shared" si="14"/>
        <v>No</v>
      </c>
      <c r="H292" t="str">
        <f>INDEX(Lookup!$C$2:$C$9,MATCH(tblSales[[#This Row],[Category Code]],Lookup!$A$2:$A$9,0))</f>
        <v>Nervous system</v>
      </c>
    </row>
    <row r="293" spans="1:8" x14ac:dyDescent="0.25">
      <c r="A293" s="4">
        <v>42766</v>
      </c>
      <c r="B293" s="5">
        <f t="shared" si="12"/>
        <v>2017</v>
      </c>
      <c r="C293" s="5">
        <f t="shared" si="13"/>
        <v>1</v>
      </c>
      <c r="D293" s="5" t="s">
        <v>12</v>
      </c>
      <c r="E293" s="5" t="str">
        <f>VLOOKUP(D293,Lookup!$A$2:$C$9,2,FALSE())</f>
        <v>Analgesic (paracetamol-type)</v>
      </c>
      <c r="F293" s="6">
        <v>1439.36</v>
      </c>
      <c r="G293" s="5" t="str">
        <f t="shared" si="14"/>
        <v>No</v>
      </c>
      <c r="H293" t="str">
        <f>INDEX(Lookup!$C$2:$C$9,MATCH(tblSales[[#This Row],[Category Code]],Lookup!$A$2:$A$9,0))</f>
        <v>Nervous system</v>
      </c>
    </row>
    <row r="294" spans="1:8" x14ac:dyDescent="0.25">
      <c r="A294" s="4">
        <v>42766</v>
      </c>
      <c r="B294" s="5">
        <f t="shared" si="12"/>
        <v>2017</v>
      </c>
      <c r="C294" s="5">
        <f t="shared" si="13"/>
        <v>1</v>
      </c>
      <c r="D294" s="5" t="s">
        <v>13</v>
      </c>
      <c r="E294" s="5" t="str">
        <f>VLOOKUP(D294,Lookup!$A$2:$C$9,2,FALSE())</f>
        <v>Anxiolytics</v>
      </c>
      <c r="F294" s="6">
        <v>443.75</v>
      </c>
      <c r="G294" s="5" t="str">
        <f t="shared" si="14"/>
        <v>No</v>
      </c>
      <c r="H294" t="str">
        <f>INDEX(Lookup!$C$2:$C$9,MATCH(tblSales[[#This Row],[Category Code]],Lookup!$A$2:$A$9,0))</f>
        <v>Nervous system</v>
      </c>
    </row>
    <row r="295" spans="1:8" x14ac:dyDescent="0.25">
      <c r="A295" s="4">
        <v>42766</v>
      </c>
      <c r="B295" s="5">
        <f t="shared" si="12"/>
        <v>2017</v>
      </c>
      <c r="C295" s="5">
        <f t="shared" si="13"/>
        <v>1</v>
      </c>
      <c r="D295" s="5" t="s">
        <v>14</v>
      </c>
      <c r="E295" s="5" t="str">
        <f>VLOOKUP(D295,Lookup!$A$2:$C$9,2,FALSE())</f>
        <v>Hypnotics &amp; sedatives</v>
      </c>
      <c r="F295" s="6">
        <v>34.17</v>
      </c>
      <c r="G295" s="5" t="str">
        <f t="shared" si="14"/>
        <v>No</v>
      </c>
      <c r="H295" t="str">
        <f>INDEX(Lookup!$C$2:$C$9,MATCH(tblSales[[#This Row],[Category Code]],Lookup!$A$2:$A$9,0))</f>
        <v>Nervous system</v>
      </c>
    </row>
    <row r="296" spans="1:8" x14ac:dyDescent="0.25">
      <c r="A296" s="4">
        <v>42766</v>
      </c>
      <c r="B296" s="5">
        <f t="shared" si="12"/>
        <v>2017</v>
      </c>
      <c r="C296" s="5">
        <f t="shared" si="13"/>
        <v>1</v>
      </c>
      <c r="D296" s="5" t="s">
        <v>15</v>
      </c>
      <c r="E296" s="5" t="str">
        <f>VLOOKUP(D296,Lookup!$A$2:$C$9,2,FALSE())</f>
        <v>Airway disease drugs</v>
      </c>
      <c r="F296" s="6">
        <v>196.41</v>
      </c>
      <c r="G296" s="5" t="str">
        <f t="shared" si="14"/>
        <v>No</v>
      </c>
      <c r="H296" t="str">
        <f>INDEX(Lookup!$C$2:$C$9,MATCH(tblSales[[#This Row],[Category Code]],Lookup!$A$2:$A$9,0))</f>
        <v>Respiratory system</v>
      </c>
    </row>
    <row r="297" spans="1:8" x14ac:dyDescent="0.25">
      <c r="A297" s="4">
        <v>42766</v>
      </c>
      <c r="B297" s="5">
        <f t="shared" si="12"/>
        <v>2017</v>
      </c>
      <c r="C297" s="5">
        <f t="shared" si="13"/>
        <v>1</v>
      </c>
      <c r="D297" s="5" t="s">
        <v>16</v>
      </c>
      <c r="E297" s="5" t="str">
        <f>VLOOKUP(D297,Lookup!$A$2:$C$9,2,FALSE())</f>
        <v>Antihistamines</v>
      </c>
      <c r="F297" s="6">
        <v>61.75</v>
      </c>
      <c r="G297" s="5" t="str">
        <f t="shared" si="14"/>
        <v>No</v>
      </c>
      <c r="H297" t="str">
        <f>INDEX(Lookup!$C$2:$C$9,MATCH(tblSales[[#This Row],[Category Code]],Lookup!$A$2:$A$9,0))</f>
        <v>Respiratory system</v>
      </c>
    </row>
    <row r="298" spans="1:8" x14ac:dyDescent="0.25">
      <c r="A298" s="4">
        <v>42794</v>
      </c>
      <c r="B298" s="5">
        <f t="shared" si="12"/>
        <v>2017</v>
      </c>
      <c r="C298" s="5">
        <f t="shared" si="13"/>
        <v>2</v>
      </c>
      <c r="D298" s="5" t="s">
        <v>9</v>
      </c>
      <c r="E298" s="5" t="str">
        <f>VLOOKUP(D298,Lookup!$A$2:$C$9,2,FALSE())</f>
        <v>Anti-inflammatory (acetic acid)</v>
      </c>
      <c r="F298" s="6">
        <v>159.99</v>
      </c>
      <c r="G298" s="5" t="str">
        <f t="shared" si="14"/>
        <v>No</v>
      </c>
      <c r="H298" t="str">
        <f>INDEX(Lookup!$C$2:$C$9,MATCH(tblSales[[#This Row],[Category Code]],Lookup!$A$2:$A$9,0))</f>
        <v>Musculo-skeletal system</v>
      </c>
    </row>
    <row r="299" spans="1:8" x14ac:dyDescent="0.25">
      <c r="A299" s="4">
        <v>42794</v>
      </c>
      <c r="B299" s="5">
        <f t="shared" si="12"/>
        <v>2017</v>
      </c>
      <c r="C299" s="5">
        <f t="shared" si="13"/>
        <v>2</v>
      </c>
      <c r="D299" s="5" t="s">
        <v>10</v>
      </c>
      <c r="E299" s="5" t="str">
        <f>VLOOKUP(D299,Lookup!$A$2:$C$9,2,FALSE())</f>
        <v>Anti-inflammatory (propionic acid)</v>
      </c>
      <c r="F299" s="6">
        <v>125.34</v>
      </c>
      <c r="G299" s="5" t="str">
        <f t="shared" si="14"/>
        <v>No</v>
      </c>
      <c r="H299" t="str">
        <f>INDEX(Lookup!$C$2:$C$9,MATCH(tblSales[[#This Row],[Category Code]],Lookup!$A$2:$A$9,0))</f>
        <v>Musculo-skeletal system</v>
      </c>
    </row>
    <row r="300" spans="1:8" x14ac:dyDescent="0.25">
      <c r="A300" s="4">
        <v>42794</v>
      </c>
      <c r="B300" s="5">
        <f t="shared" si="12"/>
        <v>2017</v>
      </c>
      <c r="C300" s="5">
        <f t="shared" si="13"/>
        <v>2</v>
      </c>
      <c r="D300" s="5" t="s">
        <v>11</v>
      </c>
      <c r="E300" s="5" t="str">
        <f>VLOOKUP(D300,Lookup!$A$2:$C$9,2,FALSE())</f>
        <v>Analgesic (salicylic acid)</v>
      </c>
      <c r="F300" s="6">
        <v>122.88</v>
      </c>
      <c r="G300" s="5" t="str">
        <f t="shared" si="14"/>
        <v>No</v>
      </c>
      <c r="H300" t="str">
        <f>INDEX(Lookup!$C$2:$C$9,MATCH(tblSales[[#This Row],[Category Code]],Lookup!$A$2:$A$9,0))</f>
        <v>Nervous system</v>
      </c>
    </row>
    <row r="301" spans="1:8" x14ac:dyDescent="0.25">
      <c r="A301" s="4">
        <v>42794</v>
      </c>
      <c r="B301" s="5">
        <f t="shared" si="12"/>
        <v>2017</v>
      </c>
      <c r="C301" s="5">
        <f t="shared" si="13"/>
        <v>2</v>
      </c>
      <c r="D301" s="5" t="s">
        <v>12</v>
      </c>
      <c r="E301" s="5" t="str">
        <f>VLOOKUP(D301,Lookup!$A$2:$C$9,2,FALSE())</f>
        <v>Analgesic (paracetamol-type)</v>
      </c>
      <c r="F301" s="6">
        <v>670.88</v>
      </c>
      <c r="G301" s="5" t="str">
        <f t="shared" si="14"/>
        <v>No</v>
      </c>
      <c r="H301" t="str">
        <f>INDEX(Lookup!$C$2:$C$9,MATCH(tblSales[[#This Row],[Category Code]],Lookup!$A$2:$A$9,0))</f>
        <v>Nervous system</v>
      </c>
    </row>
    <row r="302" spans="1:8" x14ac:dyDescent="0.25">
      <c r="A302" s="4">
        <v>42794</v>
      </c>
      <c r="B302" s="5">
        <f t="shared" si="12"/>
        <v>2017</v>
      </c>
      <c r="C302" s="5">
        <f t="shared" si="13"/>
        <v>2</v>
      </c>
      <c r="D302" s="5" t="s">
        <v>13</v>
      </c>
      <c r="E302" s="5" t="str">
        <f>VLOOKUP(D302,Lookup!$A$2:$C$9,2,FALSE())</f>
        <v>Anxiolytics</v>
      </c>
      <c r="F302" s="6">
        <v>178.79</v>
      </c>
      <c r="G302" s="5" t="str">
        <f t="shared" si="14"/>
        <v>No</v>
      </c>
      <c r="H302" t="str">
        <f>INDEX(Lookup!$C$2:$C$9,MATCH(tblSales[[#This Row],[Category Code]],Lookup!$A$2:$A$9,0))</f>
        <v>Nervous system</v>
      </c>
    </row>
    <row r="303" spans="1:8" x14ac:dyDescent="0.25">
      <c r="A303" s="4">
        <v>42794</v>
      </c>
      <c r="B303" s="5">
        <f t="shared" si="12"/>
        <v>2017</v>
      </c>
      <c r="C303" s="5">
        <f t="shared" si="13"/>
        <v>2</v>
      </c>
      <c r="D303" s="5" t="s">
        <v>14</v>
      </c>
      <c r="E303" s="5" t="str">
        <f>VLOOKUP(D303,Lookup!$A$2:$C$9,2,FALSE())</f>
        <v>Hypnotics &amp; sedatives</v>
      </c>
      <c r="F303" s="6">
        <v>11.17</v>
      </c>
      <c r="G303" s="5" t="str">
        <f t="shared" si="14"/>
        <v>No</v>
      </c>
      <c r="H303" t="str">
        <f>INDEX(Lookup!$C$2:$C$9,MATCH(tblSales[[#This Row],[Category Code]],Lookup!$A$2:$A$9,0))</f>
        <v>Nervous system</v>
      </c>
    </row>
    <row r="304" spans="1:8" x14ac:dyDescent="0.25">
      <c r="A304" s="4">
        <v>42794</v>
      </c>
      <c r="B304" s="5">
        <f t="shared" si="12"/>
        <v>2017</v>
      </c>
      <c r="C304" s="5">
        <f t="shared" si="13"/>
        <v>2</v>
      </c>
      <c r="D304" s="5" t="s">
        <v>15</v>
      </c>
      <c r="E304" s="5" t="str">
        <f>VLOOKUP(D304,Lookup!$A$2:$C$9,2,FALSE())</f>
        <v>Airway disease drugs</v>
      </c>
      <c r="F304" s="6">
        <v>140.33000000000001</v>
      </c>
      <c r="G304" s="5" t="str">
        <f t="shared" si="14"/>
        <v>No</v>
      </c>
      <c r="H304" t="str">
        <f>INDEX(Lookup!$C$2:$C$9,MATCH(tblSales[[#This Row],[Category Code]],Lookup!$A$2:$A$9,0))</f>
        <v>Respiratory system</v>
      </c>
    </row>
    <row r="305" spans="1:8" x14ac:dyDescent="0.25">
      <c r="A305" s="4">
        <v>42794</v>
      </c>
      <c r="B305" s="5">
        <f t="shared" si="12"/>
        <v>2017</v>
      </c>
      <c r="C305" s="5">
        <f t="shared" si="13"/>
        <v>2</v>
      </c>
      <c r="D305" s="5" t="s">
        <v>16</v>
      </c>
      <c r="E305" s="5" t="str">
        <f>VLOOKUP(D305,Lookup!$A$2:$C$9,2,FALSE())</f>
        <v>Antihistamines</v>
      </c>
      <c r="F305" s="6">
        <v>38.1</v>
      </c>
      <c r="G305" s="5" t="str">
        <f t="shared" si="14"/>
        <v>No</v>
      </c>
      <c r="H305" t="str">
        <f>INDEX(Lookup!$C$2:$C$9,MATCH(tblSales[[#This Row],[Category Code]],Lookup!$A$2:$A$9,0))</f>
        <v>Respiratory system</v>
      </c>
    </row>
    <row r="306" spans="1:8" x14ac:dyDescent="0.25">
      <c r="A306" s="4">
        <v>42825</v>
      </c>
      <c r="B306" s="5">
        <f t="shared" si="12"/>
        <v>2017</v>
      </c>
      <c r="C306" s="5">
        <f t="shared" si="13"/>
        <v>3</v>
      </c>
      <c r="D306" s="5" t="s">
        <v>9</v>
      </c>
      <c r="E306" s="5" t="str">
        <f>VLOOKUP(D306,Lookup!$A$2:$C$9,2,FALSE())</f>
        <v>Anti-inflammatory (acetic acid)</v>
      </c>
      <c r="F306" s="6">
        <v>162.85</v>
      </c>
      <c r="G306" s="5" t="str">
        <f t="shared" si="14"/>
        <v>No</v>
      </c>
      <c r="H306" t="str">
        <f>INDEX(Lookup!$C$2:$C$9,MATCH(tblSales[[#This Row],[Category Code]],Lookup!$A$2:$A$9,0))</f>
        <v>Musculo-skeletal system</v>
      </c>
    </row>
    <row r="307" spans="1:8" x14ac:dyDescent="0.25">
      <c r="A307" s="4">
        <v>42825</v>
      </c>
      <c r="B307" s="5">
        <f t="shared" si="12"/>
        <v>2017</v>
      </c>
      <c r="C307" s="5">
        <f t="shared" si="13"/>
        <v>3</v>
      </c>
      <c r="D307" s="5" t="s">
        <v>10</v>
      </c>
      <c r="E307" s="5" t="str">
        <f>VLOOKUP(D307,Lookup!$A$2:$C$9,2,FALSE())</f>
        <v>Anti-inflammatory (propionic acid)</v>
      </c>
      <c r="F307" s="6">
        <v>111.06</v>
      </c>
      <c r="G307" s="5" t="str">
        <f t="shared" si="14"/>
        <v>No</v>
      </c>
      <c r="H307" t="str">
        <f>INDEX(Lookup!$C$2:$C$9,MATCH(tblSales[[#This Row],[Category Code]],Lookup!$A$2:$A$9,0))</f>
        <v>Musculo-skeletal system</v>
      </c>
    </row>
    <row r="308" spans="1:8" x14ac:dyDescent="0.25">
      <c r="A308" s="4">
        <v>42825</v>
      </c>
      <c r="B308" s="5">
        <f t="shared" si="12"/>
        <v>2017</v>
      </c>
      <c r="C308" s="5">
        <f t="shared" si="13"/>
        <v>3</v>
      </c>
      <c r="D308" s="5" t="s">
        <v>11</v>
      </c>
      <c r="E308" s="5" t="str">
        <f>VLOOKUP(D308,Lookup!$A$2:$C$9,2,FALSE())</f>
        <v>Analgesic (salicylic acid)</v>
      </c>
      <c r="F308" s="6">
        <v>107.35</v>
      </c>
      <c r="G308" s="5" t="str">
        <f t="shared" si="14"/>
        <v>No</v>
      </c>
      <c r="H308" t="str">
        <f>INDEX(Lookup!$C$2:$C$9,MATCH(tblSales[[#This Row],[Category Code]],Lookup!$A$2:$A$9,0))</f>
        <v>Nervous system</v>
      </c>
    </row>
    <row r="309" spans="1:8" x14ac:dyDescent="0.25">
      <c r="A309" s="4">
        <v>42825</v>
      </c>
      <c r="B309" s="5">
        <f t="shared" si="12"/>
        <v>2017</v>
      </c>
      <c r="C309" s="5">
        <f t="shared" si="13"/>
        <v>3</v>
      </c>
      <c r="D309" s="5" t="s">
        <v>12</v>
      </c>
      <c r="E309" s="5" t="str">
        <f>VLOOKUP(D309,Lookup!$A$2:$C$9,2,FALSE())</f>
        <v>Analgesic (paracetamol-type)</v>
      </c>
      <c r="F309" s="6">
        <v>612.5</v>
      </c>
      <c r="G309" s="5" t="str">
        <f t="shared" si="14"/>
        <v>No</v>
      </c>
      <c r="H309" t="str">
        <f>INDEX(Lookup!$C$2:$C$9,MATCH(tblSales[[#This Row],[Category Code]],Lookup!$A$2:$A$9,0))</f>
        <v>Nervous system</v>
      </c>
    </row>
    <row r="310" spans="1:8" x14ac:dyDescent="0.25">
      <c r="A310" s="4">
        <v>42825</v>
      </c>
      <c r="B310" s="5">
        <f t="shared" si="12"/>
        <v>2017</v>
      </c>
      <c r="C310" s="5">
        <f t="shared" si="13"/>
        <v>3</v>
      </c>
      <c r="D310" s="5" t="s">
        <v>13</v>
      </c>
      <c r="E310" s="5" t="str">
        <f>VLOOKUP(D310,Lookup!$A$2:$C$9,2,FALSE())</f>
        <v>Anxiolytics</v>
      </c>
      <c r="F310" s="6">
        <v>165</v>
      </c>
      <c r="G310" s="5" t="str">
        <f t="shared" si="14"/>
        <v>No</v>
      </c>
      <c r="H310" t="str">
        <f>INDEX(Lookup!$C$2:$C$9,MATCH(tblSales[[#This Row],[Category Code]],Lookup!$A$2:$A$9,0))</f>
        <v>Nervous system</v>
      </c>
    </row>
    <row r="311" spans="1:8" x14ac:dyDescent="0.25">
      <c r="A311" s="4">
        <v>42825</v>
      </c>
      <c r="B311" s="5">
        <f t="shared" si="12"/>
        <v>2017</v>
      </c>
      <c r="C311" s="5">
        <f t="shared" si="13"/>
        <v>3</v>
      </c>
      <c r="D311" s="5" t="s">
        <v>14</v>
      </c>
      <c r="E311" s="5" t="str">
        <f>VLOOKUP(D311,Lookup!$A$2:$C$9,2,FALSE())</f>
        <v>Hypnotics &amp; sedatives</v>
      </c>
      <c r="F311" s="6">
        <v>9</v>
      </c>
      <c r="G311" s="5" t="str">
        <f t="shared" si="14"/>
        <v>No</v>
      </c>
      <c r="H311" t="str">
        <f>INDEX(Lookup!$C$2:$C$9,MATCH(tblSales[[#This Row],[Category Code]],Lookup!$A$2:$A$9,0))</f>
        <v>Nervous system</v>
      </c>
    </row>
    <row r="312" spans="1:8" x14ac:dyDescent="0.25">
      <c r="A312" s="4">
        <v>42825</v>
      </c>
      <c r="B312" s="5">
        <f t="shared" si="12"/>
        <v>2017</v>
      </c>
      <c r="C312" s="5">
        <f t="shared" si="13"/>
        <v>3</v>
      </c>
      <c r="D312" s="5" t="s">
        <v>15</v>
      </c>
      <c r="E312" s="5" t="str">
        <f>VLOOKUP(D312,Lookup!$A$2:$C$9,2,FALSE())</f>
        <v>Airway disease drugs</v>
      </c>
      <c r="F312" s="6">
        <v>109</v>
      </c>
      <c r="G312" s="5" t="str">
        <f t="shared" si="14"/>
        <v>No</v>
      </c>
      <c r="H312" t="str">
        <f>INDEX(Lookup!$C$2:$C$9,MATCH(tblSales[[#This Row],[Category Code]],Lookup!$A$2:$A$9,0))</f>
        <v>Respiratory system</v>
      </c>
    </row>
    <row r="313" spans="1:8" x14ac:dyDescent="0.25">
      <c r="A313" s="4">
        <v>42825</v>
      </c>
      <c r="B313" s="5">
        <f t="shared" si="12"/>
        <v>2017</v>
      </c>
      <c r="C313" s="5">
        <f t="shared" si="13"/>
        <v>3</v>
      </c>
      <c r="D313" s="5" t="s">
        <v>16</v>
      </c>
      <c r="E313" s="5" t="str">
        <f>VLOOKUP(D313,Lookup!$A$2:$C$9,2,FALSE())</f>
        <v>Antihistamines</v>
      </c>
      <c r="F313" s="6">
        <v>100.1</v>
      </c>
      <c r="G313" s="5" t="str">
        <f t="shared" si="14"/>
        <v>No</v>
      </c>
      <c r="H313" t="str">
        <f>INDEX(Lookup!$C$2:$C$9,MATCH(tblSales[[#This Row],[Category Code]],Lookup!$A$2:$A$9,0))</f>
        <v>Respiratory system</v>
      </c>
    </row>
    <row r="314" spans="1:8" x14ac:dyDescent="0.25">
      <c r="A314" s="4">
        <v>42855</v>
      </c>
      <c r="B314" s="5">
        <f t="shared" si="12"/>
        <v>2017</v>
      </c>
      <c r="C314" s="5">
        <f t="shared" si="13"/>
        <v>4</v>
      </c>
      <c r="D314" s="5" t="s">
        <v>9</v>
      </c>
      <c r="E314" s="5" t="str">
        <f>VLOOKUP(D314,Lookup!$A$2:$C$9,2,FALSE())</f>
        <v>Anti-inflammatory (acetic acid)</v>
      </c>
      <c r="F314" s="6">
        <v>155.61000000000001</v>
      </c>
      <c r="G314" s="5" t="str">
        <f t="shared" si="14"/>
        <v>No</v>
      </c>
      <c r="H314" t="str">
        <f>INDEX(Lookup!$C$2:$C$9,MATCH(tblSales[[#This Row],[Category Code]],Lookup!$A$2:$A$9,0))</f>
        <v>Musculo-skeletal system</v>
      </c>
    </row>
    <row r="315" spans="1:8" x14ac:dyDescent="0.25">
      <c r="A315" s="4">
        <v>42855</v>
      </c>
      <c r="B315" s="5">
        <f t="shared" si="12"/>
        <v>2017</v>
      </c>
      <c r="C315" s="5">
        <f t="shared" si="13"/>
        <v>4</v>
      </c>
      <c r="D315" s="5" t="s">
        <v>10</v>
      </c>
      <c r="E315" s="5" t="str">
        <f>VLOOKUP(D315,Lookup!$A$2:$C$9,2,FALSE())</f>
        <v>Anti-inflammatory (propionic acid)</v>
      </c>
      <c r="F315" s="6">
        <v>101.22</v>
      </c>
      <c r="G315" s="5" t="str">
        <f t="shared" si="14"/>
        <v>No</v>
      </c>
      <c r="H315" t="str">
        <f>INDEX(Lookup!$C$2:$C$9,MATCH(tblSales[[#This Row],[Category Code]],Lookup!$A$2:$A$9,0))</f>
        <v>Musculo-skeletal system</v>
      </c>
    </row>
    <row r="316" spans="1:8" x14ac:dyDescent="0.25">
      <c r="A316" s="4">
        <v>42855</v>
      </c>
      <c r="B316" s="5">
        <f t="shared" si="12"/>
        <v>2017</v>
      </c>
      <c r="C316" s="5">
        <f t="shared" si="13"/>
        <v>4</v>
      </c>
      <c r="D316" s="5" t="s">
        <v>11</v>
      </c>
      <c r="E316" s="5" t="str">
        <f>VLOOKUP(D316,Lookup!$A$2:$C$9,2,FALSE())</f>
        <v>Analgesic (salicylic acid)</v>
      </c>
      <c r="F316" s="6">
        <v>100.5</v>
      </c>
      <c r="G316" s="5" t="str">
        <f t="shared" si="14"/>
        <v>No</v>
      </c>
      <c r="H316" t="str">
        <f>INDEX(Lookup!$C$2:$C$9,MATCH(tblSales[[#This Row],[Category Code]],Lookup!$A$2:$A$9,0))</f>
        <v>Nervous system</v>
      </c>
    </row>
    <row r="317" spans="1:8" x14ac:dyDescent="0.25">
      <c r="A317" s="4">
        <v>42855</v>
      </c>
      <c r="B317" s="5">
        <f t="shared" si="12"/>
        <v>2017</v>
      </c>
      <c r="C317" s="5">
        <f t="shared" si="13"/>
        <v>4</v>
      </c>
      <c r="D317" s="5" t="s">
        <v>12</v>
      </c>
      <c r="E317" s="5" t="str">
        <f>VLOOKUP(D317,Lookup!$A$2:$C$9,2,FALSE())</f>
        <v>Analgesic (paracetamol-type)</v>
      </c>
      <c r="F317" s="6">
        <v>540.20000000000005</v>
      </c>
      <c r="G317" s="5" t="str">
        <f t="shared" si="14"/>
        <v>No</v>
      </c>
      <c r="H317" t="str">
        <f>INDEX(Lookup!$C$2:$C$9,MATCH(tblSales[[#This Row],[Category Code]],Lookup!$A$2:$A$9,0))</f>
        <v>Nervous system</v>
      </c>
    </row>
    <row r="318" spans="1:8" x14ac:dyDescent="0.25">
      <c r="A318" s="4">
        <v>42855</v>
      </c>
      <c r="B318" s="5">
        <f t="shared" si="12"/>
        <v>2017</v>
      </c>
      <c r="C318" s="5">
        <f t="shared" si="13"/>
        <v>4</v>
      </c>
      <c r="D318" s="5" t="s">
        <v>13</v>
      </c>
      <c r="E318" s="5" t="str">
        <f>VLOOKUP(D318,Lookup!$A$2:$C$9,2,FALSE())</f>
        <v>Anxiolytics</v>
      </c>
      <c r="F318" s="6">
        <v>132</v>
      </c>
      <c r="G318" s="5" t="str">
        <f t="shared" si="14"/>
        <v>No</v>
      </c>
      <c r="H318" t="str">
        <f>INDEX(Lookup!$C$2:$C$9,MATCH(tblSales[[#This Row],[Category Code]],Lookup!$A$2:$A$9,0))</f>
        <v>Nervous system</v>
      </c>
    </row>
    <row r="319" spans="1:8" x14ac:dyDescent="0.25">
      <c r="A319" s="4">
        <v>42855</v>
      </c>
      <c r="B319" s="5">
        <f t="shared" si="12"/>
        <v>2017</v>
      </c>
      <c r="C319" s="5">
        <f t="shared" si="13"/>
        <v>4</v>
      </c>
      <c r="D319" s="5" t="s">
        <v>14</v>
      </c>
      <c r="E319" s="5" t="str">
        <f>VLOOKUP(D319,Lookup!$A$2:$C$9,2,FALSE())</f>
        <v>Hypnotics &amp; sedatives</v>
      </c>
      <c r="F319" s="6">
        <v>9</v>
      </c>
      <c r="G319" s="5" t="str">
        <f t="shared" si="14"/>
        <v>No</v>
      </c>
      <c r="H319" t="str">
        <f>INDEX(Lookup!$C$2:$C$9,MATCH(tblSales[[#This Row],[Category Code]],Lookup!$A$2:$A$9,0))</f>
        <v>Nervous system</v>
      </c>
    </row>
    <row r="320" spans="1:8" x14ac:dyDescent="0.25">
      <c r="A320" s="4">
        <v>42855</v>
      </c>
      <c r="B320" s="5">
        <f t="shared" si="12"/>
        <v>2017</v>
      </c>
      <c r="C320" s="5">
        <f t="shared" si="13"/>
        <v>4</v>
      </c>
      <c r="D320" s="5" t="s">
        <v>15</v>
      </c>
      <c r="E320" s="5" t="str">
        <f>VLOOKUP(D320,Lookup!$A$2:$C$9,2,FALSE())</f>
        <v>Airway disease drugs</v>
      </c>
      <c r="F320" s="6">
        <v>180.88</v>
      </c>
      <c r="G320" s="5" t="str">
        <f t="shared" si="14"/>
        <v>No</v>
      </c>
      <c r="H320" t="str">
        <f>INDEX(Lookup!$C$2:$C$9,MATCH(tblSales[[#This Row],[Category Code]],Lookup!$A$2:$A$9,0))</f>
        <v>Respiratory system</v>
      </c>
    </row>
    <row r="321" spans="1:8" x14ac:dyDescent="0.25">
      <c r="A321" s="4">
        <v>42855</v>
      </c>
      <c r="B321" s="5">
        <f t="shared" si="12"/>
        <v>2017</v>
      </c>
      <c r="C321" s="5">
        <f t="shared" si="13"/>
        <v>4</v>
      </c>
      <c r="D321" s="5" t="s">
        <v>16</v>
      </c>
      <c r="E321" s="5" t="str">
        <f>VLOOKUP(D321,Lookup!$A$2:$C$9,2,FALSE())</f>
        <v>Antihistamines</v>
      </c>
      <c r="F321" s="6">
        <v>122.4</v>
      </c>
      <c r="G321" s="5" t="str">
        <f t="shared" si="14"/>
        <v>No</v>
      </c>
      <c r="H321" t="str">
        <f>INDEX(Lookup!$C$2:$C$9,MATCH(tblSales[[#This Row],[Category Code]],Lookup!$A$2:$A$9,0))</f>
        <v>Respiratory system</v>
      </c>
    </row>
    <row r="322" spans="1:8" x14ac:dyDescent="0.25">
      <c r="A322" s="4">
        <v>42886</v>
      </c>
      <c r="B322" s="5">
        <f t="shared" ref="B322:B385" si="15">YEAR(A322)</f>
        <v>2017</v>
      </c>
      <c r="C322" s="5">
        <f t="shared" ref="C322:C385" si="16">MONTH(A322)</f>
        <v>5</v>
      </c>
      <c r="D322" s="5" t="s">
        <v>9</v>
      </c>
      <c r="E322" s="5" t="str">
        <f>VLOOKUP(D322,Lookup!$A$2:$C$9,2,FALSE())</f>
        <v>Anti-inflammatory (acetic acid)</v>
      </c>
      <c r="F322" s="6">
        <v>143.66</v>
      </c>
      <c r="G322" s="5" t="str">
        <f t="shared" ref="G322:G385" si="17">IF(A322=DATE(2019,10,31),"Yes","No")</f>
        <v>No</v>
      </c>
      <c r="H322" t="str">
        <f>INDEX(Lookup!$C$2:$C$9,MATCH(tblSales[[#This Row],[Category Code]],Lookup!$A$2:$A$9,0))</f>
        <v>Musculo-skeletal system</v>
      </c>
    </row>
    <row r="323" spans="1:8" x14ac:dyDescent="0.25">
      <c r="A323" s="4">
        <v>42886</v>
      </c>
      <c r="B323" s="5">
        <f t="shared" si="15"/>
        <v>2017</v>
      </c>
      <c r="C323" s="5">
        <f t="shared" si="16"/>
        <v>5</v>
      </c>
      <c r="D323" s="5" t="s">
        <v>10</v>
      </c>
      <c r="E323" s="5" t="str">
        <f>VLOOKUP(D323,Lookup!$A$2:$C$9,2,FALSE())</f>
        <v>Anti-inflammatory (propionic acid)</v>
      </c>
      <c r="F323" s="6">
        <v>118.12</v>
      </c>
      <c r="G323" s="5" t="str">
        <f t="shared" si="17"/>
        <v>No</v>
      </c>
      <c r="H323" t="str">
        <f>INDEX(Lookup!$C$2:$C$9,MATCH(tblSales[[#This Row],[Category Code]],Lookup!$A$2:$A$9,0))</f>
        <v>Musculo-skeletal system</v>
      </c>
    </row>
    <row r="324" spans="1:8" x14ac:dyDescent="0.25">
      <c r="A324" s="4">
        <v>42886</v>
      </c>
      <c r="B324" s="5">
        <f t="shared" si="15"/>
        <v>2017</v>
      </c>
      <c r="C324" s="5">
        <f t="shared" si="16"/>
        <v>5</v>
      </c>
      <c r="D324" s="5" t="s">
        <v>11</v>
      </c>
      <c r="E324" s="5" t="str">
        <f>VLOOKUP(D324,Lookup!$A$2:$C$9,2,FALSE())</f>
        <v>Analgesic (salicylic acid)</v>
      </c>
      <c r="F324" s="6">
        <v>98.95</v>
      </c>
      <c r="G324" s="5" t="str">
        <f t="shared" si="17"/>
        <v>No</v>
      </c>
      <c r="H324" t="str">
        <f>INDEX(Lookup!$C$2:$C$9,MATCH(tblSales[[#This Row],[Category Code]],Lookup!$A$2:$A$9,0))</f>
        <v>Nervous system</v>
      </c>
    </row>
    <row r="325" spans="1:8" x14ac:dyDescent="0.25">
      <c r="A325" s="4">
        <v>42886</v>
      </c>
      <c r="B325" s="5">
        <f t="shared" si="15"/>
        <v>2017</v>
      </c>
      <c r="C325" s="5">
        <f t="shared" si="16"/>
        <v>5</v>
      </c>
      <c r="D325" s="5" t="s">
        <v>12</v>
      </c>
      <c r="E325" s="5" t="str">
        <f>VLOOKUP(D325,Lookup!$A$2:$C$9,2,FALSE())</f>
        <v>Analgesic (paracetamol-type)</v>
      </c>
      <c r="F325" s="6">
        <v>547.94000000000005</v>
      </c>
      <c r="G325" s="5" t="str">
        <f t="shared" si="17"/>
        <v>No</v>
      </c>
      <c r="H325" t="str">
        <f>INDEX(Lookup!$C$2:$C$9,MATCH(tblSales[[#This Row],[Category Code]],Lookup!$A$2:$A$9,0))</f>
        <v>Nervous system</v>
      </c>
    </row>
    <row r="326" spans="1:8" x14ac:dyDescent="0.25">
      <c r="A326" s="4">
        <v>42886</v>
      </c>
      <c r="B326" s="5">
        <f t="shared" si="15"/>
        <v>2017</v>
      </c>
      <c r="C326" s="5">
        <f t="shared" si="16"/>
        <v>5</v>
      </c>
      <c r="D326" s="5" t="s">
        <v>13</v>
      </c>
      <c r="E326" s="5" t="str">
        <f>VLOOKUP(D326,Lookup!$A$2:$C$9,2,FALSE())</f>
        <v>Anxiolytics</v>
      </c>
      <c r="F326" s="6">
        <v>148</v>
      </c>
      <c r="G326" s="5" t="str">
        <f t="shared" si="17"/>
        <v>No</v>
      </c>
      <c r="H326" t="str">
        <f>INDEX(Lookup!$C$2:$C$9,MATCH(tblSales[[#This Row],[Category Code]],Lookup!$A$2:$A$9,0))</f>
        <v>Nervous system</v>
      </c>
    </row>
    <row r="327" spans="1:8" x14ac:dyDescent="0.25">
      <c r="A327" s="4">
        <v>42886</v>
      </c>
      <c r="B327" s="5">
        <f t="shared" si="15"/>
        <v>2017</v>
      </c>
      <c r="C327" s="5">
        <f t="shared" si="16"/>
        <v>5</v>
      </c>
      <c r="D327" s="5" t="s">
        <v>14</v>
      </c>
      <c r="E327" s="5" t="str">
        <f>VLOOKUP(D327,Lookup!$A$2:$C$9,2,FALSE())</f>
        <v>Hypnotics &amp; sedatives</v>
      </c>
      <c r="F327" s="6">
        <v>23</v>
      </c>
      <c r="G327" s="5" t="str">
        <f t="shared" si="17"/>
        <v>No</v>
      </c>
      <c r="H327" t="str">
        <f>INDEX(Lookup!$C$2:$C$9,MATCH(tblSales[[#This Row],[Category Code]],Lookup!$A$2:$A$9,0))</f>
        <v>Nervous system</v>
      </c>
    </row>
    <row r="328" spans="1:8" x14ac:dyDescent="0.25">
      <c r="A328" s="4">
        <v>42886</v>
      </c>
      <c r="B328" s="5">
        <f t="shared" si="15"/>
        <v>2017</v>
      </c>
      <c r="C328" s="5">
        <f t="shared" si="16"/>
        <v>5</v>
      </c>
      <c r="D328" s="5" t="s">
        <v>15</v>
      </c>
      <c r="E328" s="5" t="str">
        <f>VLOOKUP(D328,Lookup!$A$2:$C$9,2,FALSE())</f>
        <v>Airway disease drugs</v>
      </c>
      <c r="F328" s="6">
        <v>128</v>
      </c>
      <c r="G328" s="5" t="str">
        <f t="shared" si="17"/>
        <v>No</v>
      </c>
      <c r="H328" t="str">
        <f>INDEX(Lookup!$C$2:$C$9,MATCH(tblSales[[#This Row],[Category Code]],Lookup!$A$2:$A$9,0))</f>
        <v>Respiratory system</v>
      </c>
    </row>
    <row r="329" spans="1:8" x14ac:dyDescent="0.25">
      <c r="A329" s="4">
        <v>42886</v>
      </c>
      <c r="B329" s="5">
        <f t="shared" si="15"/>
        <v>2017</v>
      </c>
      <c r="C329" s="5">
        <f t="shared" si="16"/>
        <v>5</v>
      </c>
      <c r="D329" s="5" t="s">
        <v>16</v>
      </c>
      <c r="E329" s="5" t="str">
        <f>VLOOKUP(D329,Lookup!$A$2:$C$9,2,FALSE())</f>
        <v>Antihistamines</v>
      </c>
      <c r="F329" s="6">
        <v>161.81</v>
      </c>
      <c r="G329" s="5" t="str">
        <f t="shared" si="17"/>
        <v>No</v>
      </c>
      <c r="H329" t="str">
        <f>INDEX(Lookup!$C$2:$C$9,MATCH(tblSales[[#This Row],[Category Code]],Lookup!$A$2:$A$9,0))</f>
        <v>Respiratory system</v>
      </c>
    </row>
    <row r="330" spans="1:8" x14ac:dyDescent="0.25">
      <c r="A330" s="4">
        <v>42916</v>
      </c>
      <c r="B330" s="5">
        <f t="shared" si="15"/>
        <v>2017</v>
      </c>
      <c r="C330" s="5">
        <f t="shared" si="16"/>
        <v>6</v>
      </c>
      <c r="D330" s="5" t="s">
        <v>9</v>
      </c>
      <c r="E330" s="5" t="str">
        <f>VLOOKUP(D330,Lookup!$A$2:$C$9,2,FALSE())</f>
        <v>Anti-inflammatory (acetic acid)</v>
      </c>
      <c r="F330" s="6">
        <v>122.33</v>
      </c>
      <c r="G330" s="5" t="str">
        <f t="shared" si="17"/>
        <v>No</v>
      </c>
      <c r="H330" t="str">
        <f>INDEX(Lookup!$C$2:$C$9,MATCH(tblSales[[#This Row],[Category Code]],Lookup!$A$2:$A$9,0))</f>
        <v>Musculo-skeletal system</v>
      </c>
    </row>
    <row r="331" spans="1:8" x14ac:dyDescent="0.25">
      <c r="A331" s="4">
        <v>42916</v>
      </c>
      <c r="B331" s="5">
        <f t="shared" si="15"/>
        <v>2017</v>
      </c>
      <c r="C331" s="5">
        <f t="shared" si="16"/>
        <v>6</v>
      </c>
      <c r="D331" s="5" t="s">
        <v>10</v>
      </c>
      <c r="E331" s="5" t="str">
        <f>VLOOKUP(D331,Lookup!$A$2:$C$9,2,FALSE())</f>
        <v>Anti-inflammatory (propionic acid)</v>
      </c>
      <c r="F331" s="6">
        <v>103.01</v>
      </c>
      <c r="G331" s="5" t="str">
        <f t="shared" si="17"/>
        <v>No</v>
      </c>
      <c r="H331" t="str">
        <f>INDEX(Lookup!$C$2:$C$9,MATCH(tblSales[[#This Row],[Category Code]],Lookup!$A$2:$A$9,0))</f>
        <v>Musculo-skeletal system</v>
      </c>
    </row>
    <row r="332" spans="1:8" x14ac:dyDescent="0.25">
      <c r="A332" s="4">
        <v>42916</v>
      </c>
      <c r="B332" s="5">
        <f t="shared" si="15"/>
        <v>2017</v>
      </c>
      <c r="C332" s="5">
        <f t="shared" si="16"/>
        <v>6</v>
      </c>
      <c r="D332" s="5" t="s">
        <v>11</v>
      </c>
      <c r="E332" s="5" t="str">
        <f>VLOOKUP(D332,Lookup!$A$2:$C$9,2,FALSE())</f>
        <v>Analgesic (salicylic acid)</v>
      </c>
      <c r="F332" s="6">
        <v>99.6</v>
      </c>
      <c r="G332" s="5" t="str">
        <f t="shared" si="17"/>
        <v>No</v>
      </c>
      <c r="H332" t="str">
        <f>INDEX(Lookup!$C$2:$C$9,MATCH(tblSales[[#This Row],[Category Code]],Lookup!$A$2:$A$9,0))</f>
        <v>Nervous system</v>
      </c>
    </row>
    <row r="333" spans="1:8" x14ac:dyDescent="0.25">
      <c r="A333" s="4">
        <v>42916</v>
      </c>
      <c r="B333" s="5">
        <f t="shared" si="15"/>
        <v>2017</v>
      </c>
      <c r="C333" s="5">
        <f t="shared" si="16"/>
        <v>6</v>
      </c>
      <c r="D333" s="5" t="s">
        <v>12</v>
      </c>
      <c r="E333" s="5" t="str">
        <f>VLOOKUP(D333,Lookup!$A$2:$C$9,2,FALSE())</f>
        <v>Analgesic (paracetamol-type)</v>
      </c>
      <c r="F333" s="6">
        <v>496.1</v>
      </c>
      <c r="G333" s="5" t="str">
        <f t="shared" si="17"/>
        <v>No</v>
      </c>
      <c r="H333" t="str">
        <f>INDEX(Lookup!$C$2:$C$9,MATCH(tblSales[[#This Row],[Category Code]],Lookup!$A$2:$A$9,0))</f>
        <v>Nervous system</v>
      </c>
    </row>
    <row r="334" spans="1:8" x14ac:dyDescent="0.25">
      <c r="A334" s="4">
        <v>42916</v>
      </c>
      <c r="B334" s="5">
        <f t="shared" si="15"/>
        <v>2017</v>
      </c>
      <c r="C334" s="5">
        <f t="shared" si="16"/>
        <v>6</v>
      </c>
      <c r="D334" s="5" t="s">
        <v>13</v>
      </c>
      <c r="E334" s="5" t="str">
        <f>VLOOKUP(D334,Lookup!$A$2:$C$9,2,FALSE())</f>
        <v>Anxiolytics</v>
      </c>
      <c r="F334" s="6">
        <v>163</v>
      </c>
      <c r="G334" s="5" t="str">
        <f t="shared" si="17"/>
        <v>No</v>
      </c>
      <c r="H334" t="str">
        <f>INDEX(Lookup!$C$2:$C$9,MATCH(tblSales[[#This Row],[Category Code]],Lookup!$A$2:$A$9,0))</f>
        <v>Nervous system</v>
      </c>
    </row>
    <row r="335" spans="1:8" x14ac:dyDescent="0.25">
      <c r="A335" s="4">
        <v>42916</v>
      </c>
      <c r="B335" s="5">
        <f t="shared" si="15"/>
        <v>2017</v>
      </c>
      <c r="C335" s="5">
        <f t="shared" si="16"/>
        <v>6</v>
      </c>
      <c r="D335" s="5" t="s">
        <v>14</v>
      </c>
      <c r="E335" s="5" t="str">
        <f>VLOOKUP(D335,Lookup!$A$2:$C$9,2,FALSE())</f>
        <v>Hypnotics &amp; sedatives</v>
      </c>
      <c r="F335" s="6">
        <v>8</v>
      </c>
      <c r="G335" s="5" t="str">
        <f t="shared" si="17"/>
        <v>No</v>
      </c>
      <c r="H335" t="str">
        <f>INDEX(Lookup!$C$2:$C$9,MATCH(tblSales[[#This Row],[Category Code]],Lookup!$A$2:$A$9,0))</f>
        <v>Nervous system</v>
      </c>
    </row>
    <row r="336" spans="1:8" x14ac:dyDescent="0.25">
      <c r="A336" s="4">
        <v>42916</v>
      </c>
      <c r="B336" s="5">
        <f t="shared" si="15"/>
        <v>2017</v>
      </c>
      <c r="C336" s="5">
        <f t="shared" si="16"/>
        <v>6</v>
      </c>
      <c r="D336" s="5" t="s">
        <v>15</v>
      </c>
      <c r="E336" s="5" t="str">
        <f>VLOOKUP(D336,Lookup!$A$2:$C$9,2,FALSE())</f>
        <v>Airway disease drugs</v>
      </c>
      <c r="F336" s="6">
        <v>163</v>
      </c>
      <c r="G336" s="5" t="str">
        <f t="shared" si="17"/>
        <v>No</v>
      </c>
      <c r="H336" t="str">
        <f>INDEX(Lookup!$C$2:$C$9,MATCH(tblSales[[#This Row],[Category Code]],Lookup!$A$2:$A$9,0))</f>
        <v>Respiratory system</v>
      </c>
    </row>
    <row r="337" spans="1:8" x14ac:dyDescent="0.25">
      <c r="A337" s="4">
        <v>42916</v>
      </c>
      <c r="B337" s="5">
        <f t="shared" si="15"/>
        <v>2017</v>
      </c>
      <c r="C337" s="5">
        <f t="shared" si="16"/>
        <v>6</v>
      </c>
      <c r="D337" s="5" t="s">
        <v>16</v>
      </c>
      <c r="E337" s="5" t="str">
        <f>VLOOKUP(D337,Lookup!$A$2:$C$9,2,FALSE())</f>
        <v>Antihistamines</v>
      </c>
      <c r="F337" s="6">
        <v>151.9</v>
      </c>
      <c r="G337" s="5" t="str">
        <f t="shared" si="17"/>
        <v>No</v>
      </c>
      <c r="H337" t="str">
        <f>INDEX(Lookup!$C$2:$C$9,MATCH(tblSales[[#This Row],[Category Code]],Lookup!$A$2:$A$9,0))</f>
        <v>Respiratory system</v>
      </c>
    </row>
    <row r="338" spans="1:8" x14ac:dyDescent="0.25">
      <c r="A338" s="4">
        <v>42947</v>
      </c>
      <c r="B338" s="5">
        <f t="shared" si="15"/>
        <v>2017</v>
      </c>
      <c r="C338" s="5">
        <f t="shared" si="16"/>
        <v>7</v>
      </c>
      <c r="D338" s="5" t="s">
        <v>9</v>
      </c>
      <c r="E338" s="5" t="str">
        <f>VLOOKUP(D338,Lookup!$A$2:$C$9,2,FALSE())</f>
        <v>Anti-inflammatory (acetic acid)</v>
      </c>
      <c r="F338" s="6">
        <v>150.29</v>
      </c>
      <c r="G338" s="5" t="str">
        <f t="shared" si="17"/>
        <v>No</v>
      </c>
      <c r="H338" t="str">
        <f>INDEX(Lookup!$C$2:$C$9,MATCH(tblSales[[#This Row],[Category Code]],Lookup!$A$2:$A$9,0))</f>
        <v>Musculo-skeletal system</v>
      </c>
    </row>
    <row r="339" spans="1:8" x14ac:dyDescent="0.25">
      <c r="A339" s="4">
        <v>42947</v>
      </c>
      <c r="B339" s="5">
        <f t="shared" si="15"/>
        <v>2017</v>
      </c>
      <c r="C339" s="5">
        <f t="shared" si="16"/>
        <v>7</v>
      </c>
      <c r="D339" s="5" t="s">
        <v>10</v>
      </c>
      <c r="E339" s="5" t="str">
        <f>VLOOKUP(D339,Lookup!$A$2:$C$9,2,FALSE())</f>
        <v>Anti-inflammatory (propionic acid)</v>
      </c>
      <c r="F339" s="6">
        <v>116.21</v>
      </c>
      <c r="G339" s="5" t="str">
        <f t="shared" si="17"/>
        <v>No</v>
      </c>
      <c r="H339" t="str">
        <f>INDEX(Lookup!$C$2:$C$9,MATCH(tblSales[[#This Row],[Category Code]],Lookup!$A$2:$A$9,0))</f>
        <v>Musculo-skeletal system</v>
      </c>
    </row>
    <row r="340" spans="1:8" x14ac:dyDescent="0.25">
      <c r="A340" s="4">
        <v>42947</v>
      </c>
      <c r="B340" s="5">
        <f t="shared" si="15"/>
        <v>2017</v>
      </c>
      <c r="C340" s="5">
        <f t="shared" si="16"/>
        <v>7</v>
      </c>
      <c r="D340" s="5" t="s">
        <v>11</v>
      </c>
      <c r="E340" s="5" t="str">
        <f>VLOOKUP(D340,Lookup!$A$2:$C$9,2,FALSE())</f>
        <v>Analgesic (salicylic acid)</v>
      </c>
      <c r="F340" s="6">
        <v>75.2</v>
      </c>
      <c r="G340" s="5" t="str">
        <f t="shared" si="17"/>
        <v>No</v>
      </c>
      <c r="H340" t="str">
        <f>INDEX(Lookup!$C$2:$C$9,MATCH(tblSales[[#This Row],[Category Code]],Lookup!$A$2:$A$9,0))</f>
        <v>Nervous system</v>
      </c>
    </row>
    <row r="341" spans="1:8" x14ac:dyDescent="0.25">
      <c r="A341" s="4">
        <v>42947</v>
      </c>
      <c r="B341" s="5">
        <f t="shared" si="15"/>
        <v>2017</v>
      </c>
      <c r="C341" s="5">
        <f t="shared" si="16"/>
        <v>7</v>
      </c>
      <c r="D341" s="5" t="s">
        <v>12</v>
      </c>
      <c r="E341" s="5" t="str">
        <f>VLOOKUP(D341,Lookup!$A$2:$C$9,2,FALSE())</f>
        <v>Analgesic (paracetamol-type)</v>
      </c>
      <c r="F341" s="6">
        <v>479.35</v>
      </c>
      <c r="G341" s="5" t="str">
        <f t="shared" si="17"/>
        <v>No</v>
      </c>
      <c r="H341" t="str">
        <f>INDEX(Lookup!$C$2:$C$9,MATCH(tblSales[[#This Row],[Category Code]],Lookup!$A$2:$A$9,0))</f>
        <v>Nervous system</v>
      </c>
    </row>
    <row r="342" spans="1:8" x14ac:dyDescent="0.25">
      <c r="A342" s="4">
        <v>42947</v>
      </c>
      <c r="B342" s="5">
        <f t="shared" si="15"/>
        <v>2017</v>
      </c>
      <c r="C342" s="5">
        <f t="shared" si="16"/>
        <v>7</v>
      </c>
      <c r="D342" s="5" t="s">
        <v>13</v>
      </c>
      <c r="E342" s="5" t="str">
        <f>VLOOKUP(D342,Lookup!$A$2:$C$9,2,FALSE())</f>
        <v>Anxiolytics</v>
      </c>
      <c r="F342" s="6">
        <v>219</v>
      </c>
      <c r="G342" s="5" t="str">
        <f t="shared" si="17"/>
        <v>No</v>
      </c>
      <c r="H342" t="str">
        <f>INDEX(Lookup!$C$2:$C$9,MATCH(tblSales[[#This Row],[Category Code]],Lookup!$A$2:$A$9,0))</f>
        <v>Nervous system</v>
      </c>
    </row>
    <row r="343" spans="1:8" x14ac:dyDescent="0.25">
      <c r="A343" s="4">
        <v>42947</v>
      </c>
      <c r="B343" s="5">
        <f t="shared" si="15"/>
        <v>2017</v>
      </c>
      <c r="C343" s="5">
        <f t="shared" si="16"/>
        <v>7</v>
      </c>
      <c r="D343" s="5" t="s">
        <v>14</v>
      </c>
      <c r="E343" s="5" t="str">
        <f>VLOOKUP(D343,Lookup!$A$2:$C$9,2,FALSE())</f>
        <v>Hypnotics &amp; sedatives</v>
      </c>
      <c r="F343" s="6">
        <v>15</v>
      </c>
      <c r="G343" s="5" t="str">
        <f t="shared" si="17"/>
        <v>No</v>
      </c>
      <c r="H343" t="str">
        <f>INDEX(Lookup!$C$2:$C$9,MATCH(tblSales[[#This Row],[Category Code]],Lookup!$A$2:$A$9,0))</f>
        <v>Nervous system</v>
      </c>
    </row>
    <row r="344" spans="1:8" x14ac:dyDescent="0.25">
      <c r="A344" s="4">
        <v>42947</v>
      </c>
      <c r="B344" s="5">
        <f t="shared" si="15"/>
        <v>2017</v>
      </c>
      <c r="C344" s="5">
        <f t="shared" si="16"/>
        <v>7</v>
      </c>
      <c r="D344" s="5" t="s">
        <v>15</v>
      </c>
      <c r="E344" s="5" t="str">
        <f>VLOOKUP(D344,Lookup!$A$2:$C$9,2,FALSE())</f>
        <v>Airway disease drugs</v>
      </c>
      <c r="F344" s="6">
        <v>115</v>
      </c>
      <c r="G344" s="5" t="str">
        <f t="shared" si="17"/>
        <v>No</v>
      </c>
      <c r="H344" t="str">
        <f>INDEX(Lookup!$C$2:$C$9,MATCH(tblSales[[#This Row],[Category Code]],Lookup!$A$2:$A$9,0))</f>
        <v>Respiratory system</v>
      </c>
    </row>
    <row r="345" spans="1:8" x14ac:dyDescent="0.25">
      <c r="A345" s="4">
        <v>42947</v>
      </c>
      <c r="B345" s="5">
        <f t="shared" si="15"/>
        <v>2017</v>
      </c>
      <c r="C345" s="5">
        <f t="shared" si="16"/>
        <v>7</v>
      </c>
      <c r="D345" s="5" t="s">
        <v>16</v>
      </c>
      <c r="E345" s="5" t="str">
        <f>VLOOKUP(D345,Lookup!$A$2:$C$9,2,FALSE())</f>
        <v>Antihistamines</v>
      </c>
      <c r="F345" s="6">
        <v>81.099999999999994</v>
      </c>
      <c r="G345" s="5" t="str">
        <f t="shared" si="17"/>
        <v>No</v>
      </c>
      <c r="H345" t="str">
        <f>INDEX(Lookup!$C$2:$C$9,MATCH(tblSales[[#This Row],[Category Code]],Lookup!$A$2:$A$9,0))</f>
        <v>Respiratory system</v>
      </c>
    </row>
    <row r="346" spans="1:8" x14ac:dyDescent="0.25">
      <c r="A346" s="4">
        <v>42978</v>
      </c>
      <c r="B346" s="5">
        <f t="shared" si="15"/>
        <v>2017</v>
      </c>
      <c r="C346" s="5">
        <f t="shared" si="16"/>
        <v>8</v>
      </c>
      <c r="D346" s="5" t="s">
        <v>9</v>
      </c>
      <c r="E346" s="5" t="str">
        <f>VLOOKUP(D346,Lookup!$A$2:$C$9,2,FALSE())</f>
        <v>Anti-inflammatory (acetic acid)</v>
      </c>
      <c r="F346" s="6">
        <v>170.15</v>
      </c>
      <c r="G346" s="5" t="str">
        <f t="shared" si="17"/>
        <v>No</v>
      </c>
      <c r="H346" t="str">
        <f>INDEX(Lookup!$C$2:$C$9,MATCH(tblSales[[#This Row],[Category Code]],Lookup!$A$2:$A$9,0))</f>
        <v>Musculo-skeletal system</v>
      </c>
    </row>
    <row r="347" spans="1:8" x14ac:dyDescent="0.25">
      <c r="A347" s="4">
        <v>42978</v>
      </c>
      <c r="B347" s="5">
        <f t="shared" si="15"/>
        <v>2017</v>
      </c>
      <c r="C347" s="5">
        <f t="shared" si="16"/>
        <v>8</v>
      </c>
      <c r="D347" s="5" t="s">
        <v>10</v>
      </c>
      <c r="E347" s="5" t="str">
        <f>VLOOKUP(D347,Lookup!$A$2:$C$9,2,FALSE())</f>
        <v>Anti-inflammatory (propionic acid)</v>
      </c>
      <c r="F347" s="6">
        <v>112.47</v>
      </c>
      <c r="G347" s="5" t="str">
        <f t="shared" si="17"/>
        <v>No</v>
      </c>
      <c r="H347" t="str">
        <f>INDEX(Lookup!$C$2:$C$9,MATCH(tblSales[[#This Row],[Category Code]],Lookup!$A$2:$A$9,0))</f>
        <v>Musculo-skeletal system</v>
      </c>
    </row>
    <row r="348" spans="1:8" x14ac:dyDescent="0.25">
      <c r="A348" s="4">
        <v>42978</v>
      </c>
      <c r="B348" s="5">
        <f t="shared" si="15"/>
        <v>2017</v>
      </c>
      <c r="C348" s="5">
        <f t="shared" si="16"/>
        <v>8</v>
      </c>
      <c r="D348" s="5" t="s">
        <v>11</v>
      </c>
      <c r="E348" s="5" t="str">
        <f>VLOOKUP(D348,Lookup!$A$2:$C$9,2,FALSE())</f>
        <v>Analgesic (salicylic acid)</v>
      </c>
      <c r="F348" s="6">
        <v>84.4</v>
      </c>
      <c r="G348" s="5" t="str">
        <f t="shared" si="17"/>
        <v>No</v>
      </c>
      <c r="H348" t="str">
        <f>INDEX(Lookup!$C$2:$C$9,MATCH(tblSales[[#This Row],[Category Code]],Lookup!$A$2:$A$9,0))</f>
        <v>Nervous system</v>
      </c>
    </row>
    <row r="349" spans="1:8" x14ac:dyDescent="0.25">
      <c r="A349" s="4">
        <v>42978</v>
      </c>
      <c r="B349" s="5">
        <f t="shared" si="15"/>
        <v>2017</v>
      </c>
      <c r="C349" s="5">
        <f t="shared" si="16"/>
        <v>8</v>
      </c>
      <c r="D349" s="5" t="s">
        <v>12</v>
      </c>
      <c r="E349" s="5" t="str">
        <f>VLOOKUP(D349,Lookup!$A$2:$C$9,2,FALSE())</f>
        <v>Analgesic (paracetamol-type)</v>
      </c>
      <c r="F349" s="6">
        <v>549.29999999999995</v>
      </c>
      <c r="G349" s="5" t="str">
        <f t="shared" si="17"/>
        <v>No</v>
      </c>
      <c r="H349" t="str">
        <f>INDEX(Lookup!$C$2:$C$9,MATCH(tblSales[[#This Row],[Category Code]],Lookup!$A$2:$A$9,0))</f>
        <v>Nervous system</v>
      </c>
    </row>
    <row r="350" spans="1:8" x14ac:dyDescent="0.25">
      <c r="A350" s="4">
        <v>42978</v>
      </c>
      <c r="B350" s="5">
        <f t="shared" si="15"/>
        <v>2017</v>
      </c>
      <c r="C350" s="5">
        <f t="shared" si="16"/>
        <v>8</v>
      </c>
      <c r="D350" s="5" t="s">
        <v>13</v>
      </c>
      <c r="E350" s="5" t="str">
        <f>VLOOKUP(D350,Lookup!$A$2:$C$9,2,FALSE())</f>
        <v>Anxiolytics</v>
      </c>
      <c r="F350" s="6">
        <v>239</v>
      </c>
      <c r="G350" s="5" t="str">
        <f t="shared" si="17"/>
        <v>No</v>
      </c>
      <c r="H350" t="str">
        <f>INDEX(Lookup!$C$2:$C$9,MATCH(tblSales[[#This Row],[Category Code]],Lookup!$A$2:$A$9,0))</f>
        <v>Nervous system</v>
      </c>
    </row>
    <row r="351" spans="1:8" x14ac:dyDescent="0.25">
      <c r="A351" s="4">
        <v>42978</v>
      </c>
      <c r="B351" s="5">
        <f t="shared" si="15"/>
        <v>2017</v>
      </c>
      <c r="C351" s="5">
        <f t="shared" si="16"/>
        <v>8</v>
      </c>
      <c r="D351" s="5" t="s">
        <v>14</v>
      </c>
      <c r="E351" s="5" t="str">
        <f>VLOOKUP(D351,Lookup!$A$2:$C$9,2,FALSE())</f>
        <v>Hypnotics &amp; sedatives</v>
      </c>
      <c r="F351" s="6">
        <v>12</v>
      </c>
      <c r="G351" s="5" t="str">
        <f t="shared" si="17"/>
        <v>No</v>
      </c>
      <c r="H351" t="str">
        <f>INDEX(Lookup!$C$2:$C$9,MATCH(tblSales[[#This Row],[Category Code]],Lookup!$A$2:$A$9,0))</f>
        <v>Nervous system</v>
      </c>
    </row>
    <row r="352" spans="1:8" x14ac:dyDescent="0.25">
      <c r="A352" s="4">
        <v>42978</v>
      </c>
      <c r="B352" s="5">
        <f t="shared" si="15"/>
        <v>2017</v>
      </c>
      <c r="C352" s="5">
        <f t="shared" si="16"/>
        <v>8</v>
      </c>
      <c r="D352" s="5" t="s">
        <v>15</v>
      </c>
      <c r="E352" s="5" t="str">
        <f>VLOOKUP(D352,Lookup!$A$2:$C$9,2,FALSE())</f>
        <v>Airway disease drugs</v>
      </c>
      <c r="F352" s="6">
        <v>75</v>
      </c>
      <c r="G352" s="5" t="str">
        <f t="shared" si="17"/>
        <v>No</v>
      </c>
      <c r="H352" t="str">
        <f>INDEX(Lookup!$C$2:$C$9,MATCH(tblSales[[#This Row],[Category Code]],Lookup!$A$2:$A$9,0))</f>
        <v>Respiratory system</v>
      </c>
    </row>
    <row r="353" spans="1:8" x14ac:dyDescent="0.25">
      <c r="A353" s="4">
        <v>42978</v>
      </c>
      <c r="B353" s="5">
        <f t="shared" si="15"/>
        <v>2017</v>
      </c>
      <c r="C353" s="5">
        <f t="shared" si="16"/>
        <v>8</v>
      </c>
      <c r="D353" s="5" t="s">
        <v>16</v>
      </c>
      <c r="E353" s="5" t="str">
        <f>VLOOKUP(D353,Lookup!$A$2:$C$9,2,FALSE())</f>
        <v>Antihistamines</v>
      </c>
      <c r="F353" s="6">
        <v>60.1</v>
      </c>
      <c r="G353" s="5" t="str">
        <f t="shared" si="17"/>
        <v>No</v>
      </c>
      <c r="H353" t="str">
        <f>INDEX(Lookup!$C$2:$C$9,MATCH(tblSales[[#This Row],[Category Code]],Lookup!$A$2:$A$9,0))</f>
        <v>Respiratory system</v>
      </c>
    </row>
    <row r="354" spans="1:8" x14ac:dyDescent="0.25">
      <c r="A354" s="4">
        <v>43008</v>
      </c>
      <c r="B354" s="5">
        <f t="shared" si="15"/>
        <v>2017</v>
      </c>
      <c r="C354" s="5">
        <f t="shared" si="16"/>
        <v>9</v>
      </c>
      <c r="D354" s="5" t="s">
        <v>9</v>
      </c>
      <c r="E354" s="5" t="str">
        <f>VLOOKUP(D354,Lookup!$A$2:$C$9,2,FALSE())</f>
        <v>Anti-inflammatory (acetic acid)</v>
      </c>
      <c r="F354" s="6">
        <v>138.33000000000001</v>
      </c>
      <c r="G354" s="5" t="str">
        <f t="shared" si="17"/>
        <v>No</v>
      </c>
      <c r="H354" t="str">
        <f>INDEX(Lookup!$C$2:$C$9,MATCH(tblSales[[#This Row],[Category Code]],Lookup!$A$2:$A$9,0))</f>
        <v>Musculo-skeletal system</v>
      </c>
    </row>
    <row r="355" spans="1:8" x14ac:dyDescent="0.25">
      <c r="A355" s="4">
        <v>43008</v>
      </c>
      <c r="B355" s="5">
        <f t="shared" si="15"/>
        <v>2017</v>
      </c>
      <c r="C355" s="5">
        <f t="shared" si="16"/>
        <v>9</v>
      </c>
      <c r="D355" s="5" t="s">
        <v>10</v>
      </c>
      <c r="E355" s="5" t="str">
        <f>VLOOKUP(D355,Lookup!$A$2:$C$9,2,FALSE())</f>
        <v>Anti-inflammatory (propionic acid)</v>
      </c>
      <c r="F355" s="6">
        <v>118.71</v>
      </c>
      <c r="G355" s="5" t="str">
        <f t="shared" si="17"/>
        <v>No</v>
      </c>
      <c r="H355" t="str">
        <f>INDEX(Lookup!$C$2:$C$9,MATCH(tblSales[[#This Row],[Category Code]],Lookup!$A$2:$A$9,0))</f>
        <v>Musculo-skeletal system</v>
      </c>
    </row>
    <row r="356" spans="1:8" x14ac:dyDescent="0.25">
      <c r="A356" s="4">
        <v>43008</v>
      </c>
      <c r="B356" s="5">
        <f t="shared" si="15"/>
        <v>2017</v>
      </c>
      <c r="C356" s="5">
        <f t="shared" si="16"/>
        <v>9</v>
      </c>
      <c r="D356" s="5" t="s">
        <v>11</v>
      </c>
      <c r="E356" s="5" t="str">
        <f>VLOOKUP(D356,Lookup!$A$2:$C$9,2,FALSE())</f>
        <v>Analgesic (salicylic acid)</v>
      </c>
      <c r="F356" s="6">
        <v>88.15</v>
      </c>
      <c r="G356" s="5" t="str">
        <f t="shared" si="17"/>
        <v>No</v>
      </c>
      <c r="H356" t="str">
        <f>INDEX(Lookup!$C$2:$C$9,MATCH(tblSales[[#This Row],[Category Code]],Lookup!$A$2:$A$9,0))</f>
        <v>Nervous system</v>
      </c>
    </row>
    <row r="357" spans="1:8" x14ac:dyDescent="0.25">
      <c r="A357" s="4">
        <v>43008</v>
      </c>
      <c r="B357" s="5">
        <f t="shared" si="15"/>
        <v>2017</v>
      </c>
      <c r="C357" s="5">
        <f t="shared" si="16"/>
        <v>9</v>
      </c>
      <c r="D357" s="5" t="s">
        <v>12</v>
      </c>
      <c r="E357" s="5" t="str">
        <f>VLOOKUP(D357,Lookup!$A$2:$C$9,2,FALSE())</f>
        <v>Analgesic (paracetamol-type)</v>
      </c>
      <c r="F357" s="6">
        <v>863.75</v>
      </c>
      <c r="G357" s="5" t="str">
        <f t="shared" si="17"/>
        <v>No</v>
      </c>
      <c r="H357" t="str">
        <f>INDEX(Lookup!$C$2:$C$9,MATCH(tblSales[[#This Row],[Category Code]],Lookup!$A$2:$A$9,0))</f>
        <v>Nervous system</v>
      </c>
    </row>
    <row r="358" spans="1:8" x14ac:dyDescent="0.25">
      <c r="A358" s="4">
        <v>43008</v>
      </c>
      <c r="B358" s="5">
        <f t="shared" si="15"/>
        <v>2017</v>
      </c>
      <c r="C358" s="5">
        <f t="shared" si="16"/>
        <v>9</v>
      </c>
      <c r="D358" s="5" t="s">
        <v>13</v>
      </c>
      <c r="E358" s="5" t="str">
        <f>VLOOKUP(D358,Lookup!$A$2:$C$9,2,FALSE())</f>
        <v>Anxiolytics</v>
      </c>
      <c r="F358" s="6">
        <v>223</v>
      </c>
      <c r="G358" s="5" t="str">
        <f t="shared" si="17"/>
        <v>No</v>
      </c>
      <c r="H358" t="str">
        <f>INDEX(Lookup!$C$2:$C$9,MATCH(tblSales[[#This Row],[Category Code]],Lookup!$A$2:$A$9,0))</f>
        <v>Nervous system</v>
      </c>
    </row>
    <row r="359" spans="1:8" x14ac:dyDescent="0.25">
      <c r="A359" s="4">
        <v>43008</v>
      </c>
      <c r="B359" s="5">
        <f t="shared" si="15"/>
        <v>2017</v>
      </c>
      <c r="C359" s="5">
        <f t="shared" si="16"/>
        <v>9</v>
      </c>
      <c r="D359" s="5" t="s">
        <v>14</v>
      </c>
      <c r="E359" s="5" t="str">
        <f>VLOOKUP(D359,Lookup!$A$2:$C$9,2,FALSE())</f>
        <v>Hypnotics &amp; sedatives</v>
      </c>
      <c r="F359" s="6">
        <v>23</v>
      </c>
      <c r="G359" s="5" t="str">
        <f t="shared" si="17"/>
        <v>No</v>
      </c>
      <c r="H359" t="str">
        <f>INDEX(Lookup!$C$2:$C$9,MATCH(tblSales[[#This Row],[Category Code]],Lookup!$A$2:$A$9,0))</f>
        <v>Nervous system</v>
      </c>
    </row>
    <row r="360" spans="1:8" x14ac:dyDescent="0.25">
      <c r="A360" s="4">
        <v>43008</v>
      </c>
      <c r="B360" s="5">
        <f t="shared" si="15"/>
        <v>2017</v>
      </c>
      <c r="C360" s="5">
        <f t="shared" si="16"/>
        <v>9</v>
      </c>
      <c r="D360" s="5" t="s">
        <v>15</v>
      </c>
      <c r="E360" s="5" t="str">
        <f>VLOOKUP(D360,Lookup!$A$2:$C$9,2,FALSE())</f>
        <v>Airway disease drugs</v>
      </c>
      <c r="F360" s="6">
        <v>139</v>
      </c>
      <c r="G360" s="5" t="str">
        <f t="shared" si="17"/>
        <v>No</v>
      </c>
      <c r="H360" t="str">
        <f>INDEX(Lookup!$C$2:$C$9,MATCH(tblSales[[#This Row],[Category Code]],Lookup!$A$2:$A$9,0))</f>
        <v>Respiratory system</v>
      </c>
    </row>
    <row r="361" spans="1:8" x14ac:dyDescent="0.25">
      <c r="A361" s="4">
        <v>43008</v>
      </c>
      <c r="B361" s="5">
        <f t="shared" si="15"/>
        <v>2017</v>
      </c>
      <c r="C361" s="5">
        <f t="shared" si="16"/>
        <v>9</v>
      </c>
      <c r="D361" s="5" t="s">
        <v>16</v>
      </c>
      <c r="E361" s="5" t="str">
        <f>VLOOKUP(D361,Lookup!$A$2:$C$9,2,FALSE())</f>
        <v>Antihistamines</v>
      </c>
      <c r="F361" s="6">
        <v>66.900000000000006</v>
      </c>
      <c r="G361" s="5" t="str">
        <f t="shared" si="17"/>
        <v>No</v>
      </c>
      <c r="H361" t="str">
        <f>INDEX(Lookup!$C$2:$C$9,MATCH(tblSales[[#This Row],[Category Code]],Lookup!$A$2:$A$9,0))</f>
        <v>Respiratory system</v>
      </c>
    </row>
    <row r="362" spans="1:8" x14ac:dyDescent="0.25">
      <c r="A362" s="4">
        <v>43039</v>
      </c>
      <c r="B362" s="5">
        <f t="shared" si="15"/>
        <v>2017</v>
      </c>
      <c r="C362" s="5">
        <f t="shared" si="16"/>
        <v>10</v>
      </c>
      <c r="D362" s="5" t="s">
        <v>9</v>
      </c>
      <c r="E362" s="5" t="str">
        <f>VLOOKUP(D362,Lookup!$A$2:$C$9,2,FALSE())</f>
        <v>Anti-inflammatory (acetic acid)</v>
      </c>
      <c r="F362" s="6">
        <v>137.63999999999999</v>
      </c>
      <c r="G362" s="5" t="str">
        <f t="shared" si="17"/>
        <v>No</v>
      </c>
      <c r="H362" t="str">
        <f>INDEX(Lookup!$C$2:$C$9,MATCH(tblSales[[#This Row],[Category Code]],Lookup!$A$2:$A$9,0))</f>
        <v>Musculo-skeletal system</v>
      </c>
    </row>
    <row r="363" spans="1:8" x14ac:dyDescent="0.25">
      <c r="A363" s="4">
        <v>43039</v>
      </c>
      <c r="B363" s="5">
        <f t="shared" si="15"/>
        <v>2017</v>
      </c>
      <c r="C363" s="5">
        <f t="shared" si="16"/>
        <v>10</v>
      </c>
      <c r="D363" s="5" t="s">
        <v>10</v>
      </c>
      <c r="E363" s="5" t="str">
        <f>VLOOKUP(D363,Lookup!$A$2:$C$9,2,FALSE())</f>
        <v>Anti-inflammatory (propionic acid)</v>
      </c>
      <c r="F363" s="6">
        <v>88.74</v>
      </c>
      <c r="G363" s="5" t="str">
        <f t="shared" si="17"/>
        <v>No</v>
      </c>
      <c r="H363" t="str">
        <f>INDEX(Lookup!$C$2:$C$9,MATCH(tblSales[[#This Row],[Category Code]],Lookup!$A$2:$A$9,0))</f>
        <v>Musculo-skeletal system</v>
      </c>
    </row>
    <row r="364" spans="1:8" x14ac:dyDescent="0.25">
      <c r="A364" s="4">
        <v>43039</v>
      </c>
      <c r="B364" s="5">
        <f t="shared" si="15"/>
        <v>2017</v>
      </c>
      <c r="C364" s="5">
        <f t="shared" si="16"/>
        <v>10</v>
      </c>
      <c r="D364" s="5" t="s">
        <v>11</v>
      </c>
      <c r="E364" s="5" t="str">
        <f>VLOOKUP(D364,Lookup!$A$2:$C$9,2,FALSE())</f>
        <v>Analgesic (salicylic acid)</v>
      </c>
      <c r="F364" s="6">
        <v>100.4</v>
      </c>
      <c r="G364" s="5" t="str">
        <f t="shared" si="17"/>
        <v>No</v>
      </c>
      <c r="H364" t="str">
        <f>INDEX(Lookup!$C$2:$C$9,MATCH(tblSales[[#This Row],[Category Code]],Lookup!$A$2:$A$9,0))</f>
        <v>Nervous system</v>
      </c>
    </row>
    <row r="365" spans="1:8" x14ac:dyDescent="0.25">
      <c r="A365" s="4">
        <v>43039</v>
      </c>
      <c r="B365" s="5">
        <f t="shared" si="15"/>
        <v>2017</v>
      </c>
      <c r="C365" s="5">
        <f t="shared" si="16"/>
        <v>10</v>
      </c>
      <c r="D365" s="5" t="s">
        <v>12</v>
      </c>
      <c r="E365" s="5" t="str">
        <f>VLOOKUP(D365,Lookup!$A$2:$C$9,2,FALSE())</f>
        <v>Analgesic (paracetamol-type)</v>
      </c>
      <c r="F365" s="6">
        <v>1184.3499999999999</v>
      </c>
      <c r="G365" s="5" t="str">
        <f t="shared" si="17"/>
        <v>No</v>
      </c>
      <c r="H365" t="str">
        <f>INDEX(Lookup!$C$2:$C$9,MATCH(tblSales[[#This Row],[Category Code]],Lookup!$A$2:$A$9,0))</f>
        <v>Nervous system</v>
      </c>
    </row>
    <row r="366" spans="1:8" x14ac:dyDescent="0.25">
      <c r="A366" s="4">
        <v>43039</v>
      </c>
      <c r="B366" s="5">
        <f t="shared" si="15"/>
        <v>2017</v>
      </c>
      <c r="C366" s="5">
        <f t="shared" si="16"/>
        <v>10</v>
      </c>
      <c r="D366" s="5" t="s">
        <v>13</v>
      </c>
      <c r="E366" s="5" t="str">
        <f>VLOOKUP(D366,Lookup!$A$2:$C$9,2,FALSE())</f>
        <v>Anxiolytics</v>
      </c>
      <c r="F366" s="6">
        <v>226</v>
      </c>
      <c r="G366" s="5" t="str">
        <f t="shared" si="17"/>
        <v>No</v>
      </c>
      <c r="H366" t="str">
        <f>INDEX(Lookup!$C$2:$C$9,MATCH(tblSales[[#This Row],[Category Code]],Lookup!$A$2:$A$9,0))</f>
        <v>Nervous system</v>
      </c>
    </row>
    <row r="367" spans="1:8" x14ac:dyDescent="0.25">
      <c r="A367" s="4">
        <v>43039</v>
      </c>
      <c r="B367" s="5">
        <f t="shared" si="15"/>
        <v>2017</v>
      </c>
      <c r="C367" s="5">
        <f t="shared" si="16"/>
        <v>10</v>
      </c>
      <c r="D367" s="5" t="s">
        <v>14</v>
      </c>
      <c r="E367" s="5" t="str">
        <f>VLOOKUP(D367,Lookup!$A$2:$C$9,2,FALSE())</f>
        <v>Hypnotics &amp; sedatives</v>
      </c>
      <c r="F367" s="6">
        <v>15</v>
      </c>
      <c r="G367" s="5" t="str">
        <f t="shared" si="17"/>
        <v>No</v>
      </c>
      <c r="H367" t="str">
        <f>INDEX(Lookup!$C$2:$C$9,MATCH(tblSales[[#This Row],[Category Code]],Lookup!$A$2:$A$9,0))</f>
        <v>Nervous system</v>
      </c>
    </row>
    <row r="368" spans="1:8" x14ac:dyDescent="0.25">
      <c r="A368" s="4">
        <v>43039</v>
      </c>
      <c r="B368" s="5">
        <f t="shared" si="15"/>
        <v>2017</v>
      </c>
      <c r="C368" s="5">
        <f t="shared" si="16"/>
        <v>10</v>
      </c>
      <c r="D368" s="5" t="s">
        <v>15</v>
      </c>
      <c r="E368" s="5" t="str">
        <f>VLOOKUP(D368,Lookup!$A$2:$C$9,2,FALSE())</f>
        <v>Airway disease drugs</v>
      </c>
      <c r="F368" s="6">
        <v>247</v>
      </c>
      <c r="G368" s="5" t="str">
        <f t="shared" si="17"/>
        <v>No</v>
      </c>
      <c r="H368" t="str">
        <f>INDEX(Lookup!$C$2:$C$9,MATCH(tblSales[[#This Row],[Category Code]],Lookup!$A$2:$A$9,0))</f>
        <v>Respiratory system</v>
      </c>
    </row>
    <row r="369" spans="1:8" x14ac:dyDescent="0.25">
      <c r="A369" s="4">
        <v>43039</v>
      </c>
      <c r="B369" s="5">
        <f t="shared" si="15"/>
        <v>2017</v>
      </c>
      <c r="C369" s="5">
        <f t="shared" si="16"/>
        <v>10</v>
      </c>
      <c r="D369" s="5" t="s">
        <v>16</v>
      </c>
      <c r="E369" s="5" t="str">
        <f>VLOOKUP(D369,Lookup!$A$2:$C$9,2,FALSE())</f>
        <v>Antihistamines</v>
      </c>
      <c r="F369" s="6">
        <v>51</v>
      </c>
      <c r="G369" s="5" t="str">
        <f t="shared" si="17"/>
        <v>No</v>
      </c>
      <c r="H369" t="str">
        <f>INDEX(Lookup!$C$2:$C$9,MATCH(tblSales[[#This Row],[Category Code]],Lookup!$A$2:$A$9,0))</f>
        <v>Respiratory system</v>
      </c>
    </row>
    <row r="370" spans="1:8" x14ac:dyDescent="0.25">
      <c r="A370" s="4">
        <v>43069</v>
      </c>
      <c r="B370" s="5">
        <f t="shared" si="15"/>
        <v>2017</v>
      </c>
      <c r="C370" s="5">
        <f t="shared" si="16"/>
        <v>11</v>
      </c>
      <c r="D370" s="5" t="s">
        <v>9</v>
      </c>
      <c r="E370" s="5" t="str">
        <f>VLOOKUP(D370,Lookup!$A$2:$C$9,2,FALSE())</f>
        <v>Anti-inflammatory (acetic acid)</v>
      </c>
      <c r="F370" s="6">
        <v>163.85</v>
      </c>
      <c r="G370" s="5" t="str">
        <f t="shared" si="17"/>
        <v>No</v>
      </c>
      <c r="H370" t="str">
        <f>INDEX(Lookup!$C$2:$C$9,MATCH(tblSales[[#This Row],[Category Code]],Lookup!$A$2:$A$9,0))</f>
        <v>Musculo-skeletal system</v>
      </c>
    </row>
    <row r="371" spans="1:8" x14ac:dyDescent="0.25">
      <c r="A371" s="4">
        <v>43069</v>
      </c>
      <c r="B371" s="5">
        <f t="shared" si="15"/>
        <v>2017</v>
      </c>
      <c r="C371" s="5">
        <f t="shared" si="16"/>
        <v>11</v>
      </c>
      <c r="D371" s="5" t="s">
        <v>10</v>
      </c>
      <c r="E371" s="5" t="str">
        <f>VLOOKUP(D371,Lookup!$A$2:$C$9,2,FALSE())</f>
        <v>Anti-inflammatory (propionic acid)</v>
      </c>
      <c r="F371" s="6">
        <v>119.78</v>
      </c>
      <c r="G371" s="5" t="str">
        <f t="shared" si="17"/>
        <v>No</v>
      </c>
      <c r="H371" t="str">
        <f>INDEX(Lookup!$C$2:$C$9,MATCH(tblSales[[#This Row],[Category Code]],Lookup!$A$2:$A$9,0))</f>
        <v>Musculo-skeletal system</v>
      </c>
    </row>
    <row r="372" spans="1:8" x14ac:dyDescent="0.25">
      <c r="A372" s="4">
        <v>43069</v>
      </c>
      <c r="B372" s="5">
        <f t="shared" si="15"/>
        <v>2017</v>
      </c>
      <c r="C372" s="5">
        <f t="shared" si="16"/>
        <v>11</v>
      </c>
      <c r="D372" s="5" t="s">
        <v>11</v>
      </c>
      <c r="E372" s="5" t="str">
        <f>VLOOKUP(D372,Lookup!$A$2:$C$9,2,FALSE())</f>
        <v>Analgesic (salicylic acid)</v>
      </c>
      <c r="F372" s="6">
        <v>104.45</v>
      </c>
      <c r="G372" s="5" t="str">
        <f t="shared" si="17"/>
        <v>No</v>
      </c>
      <c r="H372" t="str">
        <f>INDEX(Lookup!$C$2:$C$9,MATCH(tblSales[[#This Row],[Category Code]],Lookup!$A$2:$A$9,0))</f>
        <v>Nervous system</v>
      </c>
    </row>
    <row r="373" spans="1:8" x14ac:dyDescent="0.25">
      <c r="A373" s="4">
        <v>43069</v>
      </c>
      <c r="B373" s="5">
        <f t="shared" si="15"/>
        <v>2017</v>
      </c>
      <c r="C373" s="5">
        <f t="shared" si="16"/>
        <v>11</v>
      </c>
      <c r="D373" s="5" t="s">
        <v>12</v>
      </c>
      <c r="E373" s="5" t="str">
        <f>VLOOKUP(D373,Lookup!$A$2:$C$9,2,FALSE())</f>
        <v>Analgesic (paracetamol-type)</v>
      </c>
      <c r="F373" s="6">
        <v>867.9</v>
      </c>
      <c r="G373" s="5" t="str">
        <f t="shared" si="17"/>
        <v>No</v>
      </c>
      <c r="H373" t="str">
        <f>INDEX(Lookup!$C$2:$C$9,MATCH(tblSales[[#This Row],[Category Code]],Lookup!$A$2:$A$9,0))</f>
        <v>Nervous system</v>
      </c>
    </row>
    <row r="374" spans="1:8" x14ac:dyDescent="0.25">
      <c r="A374" s="4">
        <v>43069</v>
      </c>
      <c r="B374" s="5">
        <f t="shared" si="15"/>
        <v>2017</v>
      </c>
      <c r="C374" s="5">
        <f t="shared" si="16"/>
        <v>11</v>
      </c>
      <c r="D374" s="5" t="s">
        <v>13</v>
      </c>
      <c r="E374" s="5" t="str">
        <f>VLOOKUP(D374,Lookup!$A$2:$C$9,2,FALSE())</f>
        <v>Anxiolytics</v>
      </c>
      <c r="F374" s="6">
        <v>192</v>
      </c>
      <c r="G374" s="5" t="str">
        <f t="shared" si="17"/>
        <v>No</v>
      </c>
      <c r="H374" t="str">
        <f>INDEX(Lookup!$C$2:$C$9,MATCH(tblSales[[#This Row],[Category Code]],Lookup!$A$2:$A$9,0))</f>
        <v>Nervous system</v>
      </c>
    </row>
    <row r="375" spans="1:8" x14ac:dyDescent="0.25">
      <c r="A375" s="4">
        <v>43069</v>
      </c>
      <c r="B375" s="5">
        <f t="shared" si="15"/>
        <v>2017</v>
      </c>
      <c r="C375" s="5">
        <f t="shared" si="16"/>
        <v>11</v>
      </c>
      <c r="D375" s="5" t="s">
        <v>14</v>
      </c>
      <c r="E375" s="5" t="str">
        <f>VLOOKUP(D375,Lookup!$A$2:$C$9,2,FALSE())</f>
        <v>Hypnotics &amp; sedatives</v>
      </c>
      <c r="F375" s="6">
        <v>15</v>
      </c>
      <c r="G375" s="5" t="str">
        <f t="shared" si="17"/>
        <v>No</v>
      </c>
      <c r="H375" t="str">
        <f>INDEX(Lookup!$C$2:$C$9,MATCH(tblSales[[#This Row],[Category Code]],Lookup!$A$2:$A$9,0))</f>
        <v>Nervous system</v>
      </c>
    </row>
    <row r="376" spans="1:8" x14ac:dyDescent="0.25">
      <c r="A376" s="4">
        <v>43069</v>
      </c>
      <c r="B376" s="5">
        <f t="shared" si="15"/>
        <v>2017</v>
      </c>
      <c r="C376" s="5">
        <f t="shared" si="16"/>
        <v>11</v>
      </c>
      <c r="D376" s="5" t="s">
        <v>15</v>
      </c>
      <c r="E376" s="5" t="str">
        <f>VLOOKUP(D376,Lookup!$A$2:$C$9,2,FALSE())</f>
        <v>Airway disease drugs</v>
      </c>
      <c r="F376" s="6">
        <v>196</v>
      </c>
      <c r="G376" s="5" t="str">
        <f t="shared" si="17"/>
        <v>No</v>
      </c>
      <c r="H376" t="str">
        <f>INDEX(Lookup!$C$2:$C$9,MATCH(tblSales[[#This Row],[Category Code]],Lookup!$A$2:$A$9,0))</f>
        <v>Respiratory system</v>
      </c>
    </row>
    <row r="377" spans="1:8" x14ac:dyDescent="0.25">
      <c r="A377" s="4">
        <v>43069</v>
      </c>
      <c r="B377" s="5">
        <f t="shared" si="15"/>
        <v>2017</v>
      </c>
      <c r="C377" s="5">
        <f t="shared" si="16"/>
        <v>11</v>
      </c>
      <c r="D377" s="5" t="s">
        <v>16</v>
      </c>
      <c r="E377" s="5" t="str">
        <f>VLOOKUP(D377,Lookup!$A$2:$C$9,2,FALSE())</f>
        <v>Antihistamines</v>
      </c>
      <c r="F377" s="6">
        <v>46.6</v>
      </c>
      <c r="G377" s="5" t="str">
        <f t="shared" si="17"/>
        <v>No</v>
      </c>
      <c r="H377" t="str">
        <f>INDEX(Lookup!$C$2:$C$9,MATCH(tblSales[[#This Row],[Category Code]],Lookup!$A$2:$A$9,0))</f>
        <v>Respiratory system</v>
      </c>
    </row>
    <row r="378" spans="1:8" x14ac:dyDescent="0.25">
      <c r="A378" s="4">
        <v>43100</v>
      </c>
      <c r="B378" s="5">
        <f t="shared" si="15"/>
        <v>2017</v>
      </c>
      <c r="C378" s="5">
        <f t="shared" si="16"/>
        <v>12</v>
      </c>
      <c r="D378" s="5" t="s">
        <v>9</v>
      </c>
      <c r="E378" s="5" t="str">
        <f>VLOOKUP(D378,Lookup!$A$2:$C$9,2,FALSE())</f>
        <v>Anti-inflammatory (acetic acid)</v>
      </c>
      <c r="F378" s="6">
        <v>160.01</v>
      </c>
      <c r="G378" s="5" t="str">
        <f t="shared" si="17"/>
        <v>No</v>
      </c>
      <c r="H378" t="str">
        <f>INDEX(Lookup!$C$2:$C$9,MATCH(tblSales[[#This Row],[Category Code]],Lookup!$A$2:$A$9,0))</f>
        <v>Musculo-skeletal system</v>
      </c>
    </row>
    <row r="379" spans="1:8" x14ac:dyDescent="0.25">
      <c r="A379" s="4">
        <v>43100</v>
      </c>
      <c r="B379" s="5">
        <f t="shared" si="15"/>
        <v>2017</v>
      </c>
      <c r="C379" s="5">
        <f t="shared" si="16"/>
        <v>12</v>
      </c>
      <c r="D379" s="5" t="s">
        <v>10</v>
      </c>
      <c r="E379" s="5" t="str">
        <f>VLOOKUP(D379,Lookup!$A$2:$C$9,2,FALSE())</f>
        <v>Anti-inflammatory (propionic acid)</v>
      </c>
      <c r="F379" s="6">
        <v>121.66</v>
      </c>
      <c r="G379" s="5" t="str">
        <f t="shared" si="17"/>
        <v>No</v>
      </c>
      <c r="H379" t="str">
        <f>INDEX(Lookup!$C$2:$C$9,MATCH(tblSales[[#This Row],[Category Code]],Lookup!$A$2:$A$9,0))</f>
        <v>Musculo-skeletal system</v>
      </c>
    </row>
    <row r="380" spans="1:8" x14ac:dyDescent="0.25">
      <c r="A380" s="4">
        <v>43100</v>
      </c>
      <c r="B380" s="5">
        <f t="shared" si="15"/>
        <v>2017</v>
      </c>
      <c r="C380" s="5">
        <f t="shared" si="16"/>
        <v>12</v>
      </c>
      <c r="D380" s="5" t="s">
        <v>11</v>
      </c>
      <c r="E380" s="5" t="str">
        <f>VLOOKUP(D380,Lookup!$A$2:$C$9,2,FALSE())</f>
        <v>Analgesic (salicylic acid)</v>
      </c>
      <c r="F380" s="6">
        <v>115.15</v>
      </c>
      <c r="G380" s="5" t="str">
        <f t="shared" si="17"/>
        <v>No</v>
      </c>
      <c r="H380" t="str">
        <f>INDEX(Lookup!$C$2:$C$9,MATCH(tblSales[[#This Row],[Category Code]],Lookup!$A$2:$A$9,0))</f>
        <v>Nervous system</v>
      </c>
    </row>
    <row r="381" spans="1:8" x14ac:dyDescent="0.25">
      <c r="A381" s="4">
        <v>43100</v>
      </c>
      <c r="B381" s="5">
        <f t="shared" si="15"/>
        <v>2017</v>
      </c>
      <c r="C381" s="5">
        <f t="shared" si="16"/>
        <v>12</v>
      </c>
      <c r="D381" s="5" t="s">
        <v>12</v>
      </c>
      <c r="E381" s="5" t="str">
        <f>VLOOKUP(D381,Lookup!$A$2:$C$9,2,FALSE())</f>
        <v>Analgesic (paracetamol-type)</v>
      </c>
      <c r="F381" s="6">
        <v>1007.18</v>
      </c>
      <c r="G381" s="5" t="str">
        <f t="shared" si="17"/>
        <v>No</v>
      </c>
      <c r="H381" t="str">
        <f>INDEX(Lookup!$C$2:$C$9,MATCH(tblSales[[#This Row],[Category Code]],Lookup!$A$2:$A$9,0))</f>
        <v>Nervous system</v>
      </c>
    </row>
    <row r="382" spans="1:8" x14ac:dyDescent="0.25">
      <c r="A382" s="4">
        <v>43100</v>
      </c>
      <c r="B382" s="5">
        <f t="shared" si="15"/>
        <v>2017</v>
      </c>
      <c r="C382" s="5">
        <f t="shared" si="16"/>
        <v>12</v>
      </c>
      <c r="D382" s="5" t="s">
        <v>13</v>
      </c>
      <c r="E382" s="5" t="str">
        <f>VLOOKUP(D382,Lookup!$A$2:$C$9,2,FALSE())</f>
        <v>Anxiolytics</v>
      </c>
      <c r="F382" s="6">
        <v>226</v>
      </c>
      <c r="G382" s="5" t="str">
        <f t="shared" si="17"/>
        <v>No</v>
      </c>
      <c r="H382" t="str">
        <f>INDEX(Lookup!$C$2:$C$9,MATCH(tblSales[[#This Row],[Category Code]],Lookup!$A$2:$A$9,0))</f>
        <v>Nervous system</v>
      </c>
    </row>
    <row r="383" spans="1:8" x14ac:dyDescent="0.25">
      <c r="A383" s="4">
        <v>43100</v>
      </c>
      <c r="B383" s="5">
        <f t="shared" si="15"/>
        <v>2017</v>
      </c>
      <c r="C383" s="5">
        <f t="shared" si="16"/>
        <v>12</v>
      </c>
      <c r="D383" s="5" t="s">
        <v>14</v>
      </c>
      <c r="E383" s="5" t="str">
        <f>VLOOKUP(D383,Lookup!$A$2:$C$9,2,FALSE())</f>
        <v>Hypnotics &amp; sedatives</v>
      </c>
      <c r="F383" s="6">
        <v>6</v>
      </c>
      <c r="G383" s="5" t="str">
        <f t="shared" si="17"/>
        <v>No</v>
      </c>
      <c r="H383" t="str">
        <f>INDEX(Lookup!$C$2:$C$9,MATCH(tblSales[[#This Row],[Category Code]],Lookup!$A$2:$A$9,0))</f>
        <v>Nervous system</v>
      </c>
    </row>
    <row r="384" spans="1:8" x14ac:dyDescent="0.25">
      <c r="A384" s="4">
        <v>43100</v>
      </c>
      <c r="B384" s="5">
        <f t="shared" si="15"/>
        <v>2017</v>
      </c>
      <c r="C384" s="5">
        <f t="shared" si="16"/>
        <v>12</v>
      </c>
      <c r="D384" s="5" t="s">
        <v>15</v>
      </c>
      <c r="E384" s="5" t="str">
        <f>VLOOKUP(D384,Lookup!$A$2:$C$9,2,FALSE())</f>
        <v>Airway disease drugs</v>
      </c>
      <c r="F384" s="6">
        <v>204</v>
      </c>
      <c r="G384" s="5" t="str">
        <f t="shared" si="17"/>
        <v>No</v>
      </c>
      <c r="H384" t="str">
        <f>INDEX(Lookup!$C$2:$C$9,MATCH(tblSales[[#This Row],[Category Code]],Lookup!$A$2:$A$9,0))</f>
        <v>Respiratory system</v>
      </c>
    </row>
    <row r="385" spans="1:8" x14ac:dyDescent="0.25">
      <c r="A385" s="4">
        <v>43100</v>
      </c>
      <c r="B385" s="5">
        <f t="shared" si="15"/>
        <v>2017</v>
      </c>
      <c r="C385" s="5">
        <f t="shared" si="16"/>
        <v>12</v>
      </c>
      <c r="D385" s="5" t="s">
        <v>16</v>
      </c>
      <c r="E385" s="5" t="str">
        <f>VLOOKUP(D385,Lookup!$A$2:$C$9,2,FALSE())</f>
        <v>Antihistamines</v>
      </c>
      <c r="F385" s="6">
        <v>47.1</v>
      </c>
      <c r="G385" s="5" t="str">
        <f t="shared" si="17"/>
        <v>No</v>
      </c>
      <c r="H385" t="str">
        <f>INDEX(Lookup!$C$2:$C$9,MATCH(tblSales[[#This Row],[Category Code]],Lookup!$A$2:$A$9,0))</f>
        <v>Respiratory system</v>
      </c>
    </row>
    <row r="386" spans="1:8" x14ac:dyDescent="0.25">
      <c r="A386" s="4">
        <v>43131</v>
      </c>
      <c r="B386" s="5">
        <f t="shared" ref="B386:B449" si="18">YEAR(A386)</f>
        <v>2018</v>
      </c>
      <c r="C386" s="5">
        <f t="shared" ref="C386:C449" si="19">MONTH(A386)</f>
        <v>1</v>
      </c>
      <c r="D386" s="5" t="s">
        <v>9</v>
      </c>
      <c r="E386" s="5" t="str">
        <f>VLOOKUP(D386,Lookup!$A$2:$C$9,2,FALSE())</f>
        <v>Anti-inflammatory (acetic acid)</v>
      </c>
      <c r="F386" s="6">
        <v>132.28</v>
      </c>
      <c r="G386" s="5" t="str">
        <f t="shared" ref="G386:G449" si="20">IF(A386=DATE(2019,10,31),"Yes","No")</f>
        <v>No</v>
      </c>
      <c r="H386" t="str">
        <f>INDEX(Lookup!$C$2:$C$9,MATCH(tblSales[[#This Row],[Category Code]],Lookup!$A$2:$A$9,0))</f>
        <v>Musculo-skeletal system</v>
      </c>
    </row>
    <row r="387" spans="1:8" x14ac:dyDescent="0.25">
      <c r="A387" s="4">
        <v>43131</v>
      </c>
      <c r="B387" s="5">
        <f t="shared" si="18"/>
        <v>2018</v>
      </c>
      <c r="C387" s="5">
        <f t="shared" si="19"/>
        <v>1</v>
      </c>
      <c r="D387" s="5" t="s">
        <v>10</v>
      </c>
      <c r="E387" s="5" t="str">
        <f>VLOOKUP(D387,Lookup!$A$2:$C$9,2,FALSE())</f>
        <v>Anti-inflammatory (propionic acid)</v>
      </c>
      <c r="F387" s="6">
        <v>109.45</v>
      </c>
      <c r="G387" s="5" t="str">
        <f t="shared" si="20"/>
        <v>No</v>
      </c>
      <c r="H387" t="str">
        <f>INDEX(Lookup!$C$2:$C$9,MATCH(tblSales[[#This Row],[Category Code]],Lookup!$A$2:$A$9,0))</f>
        <v>Musculo-skeletal system</v>
      </c>
    </row>
    <row r="388" spans="1:8" x14ac:dyDescent="0.25">
      <c r="A388" s="4">
        <v>43131</v>
      </c>
      <c r="B388" s="5">
        <f t="shared" si="18"/>
        <v>2018</v>
      </c>
      <c r="C388" s="5">
        <f t="shared" si="19"/>
        <v>1</v>
      </c>
      <c r="D388" s="5" t="s">
        <v>11</v>
      </c>
      <c r="E388" s="5" t="str">
        <f>VLOOKUP(D388,Lookup!$A$2:$C$9,2,FALSE())</f>
        <v>Analgesic (salicylic acid)</v>
      </c>
      <c r="F388" s="6">
        <v>101.15</v>
      </c>
      <c r="G388" s="5" t="str">
        <f t="shared" si="20"/>
        <v>No</v>
      </c>
      <c r="H388" t="str">
        <f>INDEX(Lookup!$C$2:$C$9,MATCH(tblSales[[#This Row],[Category Code]],Lookup!$A$2:$A$9,0))</f>
        <v>Nervous system</v>
      </c>
    </row>
    <row r="389" spans="1:8" x14ac:dyDescent="0.25">
      <c r="A389" s="4">
        <v>43131</v>
      </c>
      <c r="B389" s="5">
        <f t="shared" si="18"/>
        <v>2018</v>
      </c>
      <c r="C389" s="5">
        <f t="shared" si="19"/>
        <v>1</v>
      </c>
      <c r="D389" s="5" t="s">
        <v>12</v>
      </c>
      <c r="E389" s="5" t="str">
        <f>VLOOKUP(D389,Lookup!$A$2:$C$9,2,FALSE())</f>
        <v>Analgesic (paracetamol-type)</v>
      </c>
      <c r="F389" s="6">
        <v>1134.33</v>
      </c>
      <c r="G389" s="5" t="str">
        <f t="shared" si="20"/>
        <v>No</v>
      </c>
      <c r="H389" t="str">
        <f>INDEX(Lookup!$C$2:$C$9,MATCH(tblSales[[#This Row],[Category Code]],Lookup!$A$2:$A$9,0))</f>
        <v>Nervous system</v>
      </c>
    </row>
    <row r="390" spans="1:8" x14ac:dyDescent="0.25">
      <c r="A390" s="4">
        <v>43131</v>
      </c>
      <c r="B390" s="5">
        <f t="shared" si="18"/>
        <v>2018</v>
      </c>
      <c r="C390" s="5">
        <f t="shared" si="19"/>
        <v>1</v>
      </c>
      <c r="D390" s="5" t="s">
        <v>13</v>
      </c>
      <c r="E390" s="5" t="str">
        <f>VLOOKUP(D390,Lookup!$A$2:$C$9,2,FALSE())</f>
        <v>Anxiolytics</v>
      </c>
      <c r="F390" s="6">
        <v>229</v>
      </c>
      <c r="G390" s="5" t="str">
        <f t="shared" si="20"/>
        <v>No</v>
      </c>
      <c r="H390" t="str">
        <f>INDEX(Lookup!$C$2:$C$9,MATCH(tblSales[[#This Row],[Category Code]],Lookup!$A$2:$A$9,0))</f>
        <v>Nervous system</v>
      </c>
    </row>
    <row r="391" spans="1:8" x14ac:dyDescent="0.25">
      <c r="A391" s="4">
        <v>43131</v>
      </c>
      <c r="B391" s="5">
        <f t="shared" si="18"/>
        <v>2018</v>
      </c>
      <c r="C391" s="5">
        <f t="shared" si="19"/>
        <v>1</v>
      </c>
      <c r="D391" s="5" t="s">
        <v>14</v>
      </c>
      <c r="E391" s="5" t="str">
        <f>VLOOKUP(D391,Lookup!$A$2:$C$9,2,FALSE())</f>
        <v>Hypnotics &amp; sedatives</v>
      </c>
      <c r="F391" s="6">
        <v>11</v>
      </c>
      <c r="G391" s="5" t="str">
        <f t="shared" si="20"/>
        <v>No</v>
      </c>
      <c r="H391" t="str">
        <f>INDEX(Lookup!$C$2:$C$9,MATCH(tblSales[[#This Row],[Category Code]],Lookup!$A$2:$A$9,0))</f>
        <v>Nervous system</v>
      </c>
    </row>
    <row r="392" spans="1:8" x14ac:dyDescent="0.25">
      <c r="A392" s="4">
        <v>43131</v>
      </c>
      <c r="B392" s="5">
        <f t="shared" si="18"/>
        <v>2018</v>
      </c>
      <c r="C392" s="5">
        <f t="shared" si="19"/>
        <v>1</v>
      </c>
      <c r="D392" s="5" t="s">
        <v>15</v>
      </c>
      <c r="E392" s="5" t="str">
        <f>VLOOKUP(D392,Lookup!$A$2:$C$9,2,FALSE())</f>
        <v>Airway disease drugs</v>
      </c>
      <c r="F392" s="6">
        <v>219</v>
      </c>
      <c r="G392" s="5" t="str">
        <f t="shared" si="20"/>
        <v>No</v>
      </c>
      <c r="H392" t="str">
        <f>INDEX(Lookup!$C$2:$C$9,MATCH(tblSales[[#This Row],[Category Code]],Lookup!$A$2:$A$9,0))</f>
        <v>Respiratory system</v>
      </c>
    </row>
    <row r="393" spans="1:8" x14ac:dyDescent="0.25">
      <c r="A393" s="4">
        <v>43131</v>
      </c>
      <c r="B393" s="5">
        <f t="shared" si="18"/>
        <v>2018</v>
      </c>
      <c r="C393" s="5">
        <f t="shared" si="19"/>
        <v>1</v>
      </c>
      <c r="D393" s="5" t="s">
        <v>16</v>
      </c>
      <c r="E393" s="5" t="str">
        <f>VLOOKUP(D393,Lookup!$A$2:$C$9,2,FALSE())</f>
        <v>Antihistamines</v>
      </c>
      <c r="F393" s="6">
        <v>49.5</v>
      </c>
      <c r="G393" s="5" t="str">
        <f t="shared" si="20"/>
        <v>No</v>
      </c>
      <c r="H393" t="str">
        <f>INDEX(Lookup!$C$2:$C$9,MATCH(tblSales[[#This Row],[Category Code]],Lookup!$A$2:$A$9,0))</f>
        <v>Respiratory system</v>
      </c>
    </row>
    <row r="394" spans="1:8" x14ac:dyDescent="0.25">
      <c r="A394" s="4">
        <v>43159</v>
      </c>
      <c r="B394" s="5">
        <f t="shared" si="18"/>
        <v>2018</v>
      </c>
      <c r="C394" s="5">
        <f t="shared" si="19"/>
        <v>2</v>
      </c>
      <c r="D394" s="5" t="s">
        <v>9</v>
      </c>
      <c r="E394" s="5" t="str">
        <f>VLOOKUP(D394,Lookup!$A$2:$C$9,2,FALSE())</f>
        <v>Anti-inflammatory (acetic acid)</v>
      </c>
      <c r="F394" s="6">
        <v>128.36000000000001</v>
      </c>
      <c r="G394" s="5" t="str">
        <f t="shared" si="20"/>
        <v>No</v>
      </c>
      <c r="H394" t="str">
        <f>INDEX(Lookup!$C$2:$C$9,MATCH(tblSales[[#This Row],[Category Code]],Lookup!$A$2:$A$9,0))</f>
        <v>Musculo-skeletal system</v>
      </c>
    </row>
    <row r="395" spans="1:8" x14ac:dyDescent="0.25">
      <c r="A395" s="4">
        <v>43159</v>
      </c>
      <c r="B395" s="5">
        <f t="shared" si="18"/>
        <v>2018</v>
      </c>
      <c r="C395" s="5">
        <f t="shared" si="19"/>
        <v>2</v>
      </c>
      <c r="D395" s="5" t="s">
        <v>10</v>
      </c>
      <c r="E395" s="5" t="str">
        <f>VLOOKUP(D395,Lookup!$A$2:$C$9,2,FALSE())</f>
        <v>Anti-inflammatory (propionic acid)</v>
      </c>
      <c r="F395" s="6">
        <v>132.80000000000001</v>
      </c>
      <c r="G395" s="5" t="str">
        <f t="shared" si="20"/>
        <v>No</v>
      </c>
      <c r="H395" t="str">
        <f>INDEX(Lookup!$C$2:$C$9,MATCH(tblSales[[#This Row],[Category Code]],Lookup!$A$2:$A$9,0))</f>
        <v>Musculo-skeletal system</v>
      </c>
    </row>
    <row r="396" spans="1:8" x14ac:dyDescent="0.25">
      <c r="A396" s="4">
        <v>43159</v>
      </c>
      <c r="B396" s="5">
        <f t="shared" si="18"/>
        <v>2018</v>
      </c>
      <c r="C396" s="5">
        <f t="shared" si="19"/>
        <v>2</v>
      </c>
      <c r="D396" s="5" t="s">
        <v>11</v>
      </c>
      <c r="E396" s="5" t="str">
        <f>VLOOKUP(D396,Lookup!$A$2:$C$9,2,FALSE())</f>
        <v>Analgesic (salicylic acid)</v>
      </c>
      <c r="F396" s="6">
        <v>114.65</v>
      </c>
      <c r="G396" s="5" t="str">
        <f t="shared" si="20"/>
        <v>No</v>
      </c>
      <c r="H396" t="str">
        <f>INDEX(Lookup!$C$2:$C$9,MATCH(tblSales[[#This Row],[Category Code]],Lookup!$A$2:$A$9,0))</f>
        <v>Nervous system</v>
      </c>
    </row>
    <row r="397" spans="1:8" x14ac:dyDescent="0.25">
      <c r="A397" s="4">
        <v>43159</v>
      </c>
      <c r="B397" s="5">
        <f t="shared" si="18"/>
        <v>2018</v>
      </c>
      <c r="C397" s="5">
        <f t="shared" si="19"/>
        <v>2</v>
      </c>
      <c r="D397" s="5" t="s">
        <v>12</v>
      </c>
      <c r="E397" s="5" t="str">
        <f>VLOOKUP(D397,Lookup!$A$2:$C$9,2,FALSE())</f>
        <v>Analgesic (paracetamol-type)</v>
      </c>
      <c r="F397" s="6">
        <v>1255.3699999999999</v>
      </c>
      <c r="G397" s="5" t="str">
        <f t="shared" si="20"/>
        <v>No</v>
      </c>
      <c r="H397" t="str">
        <f>INDEX(Lookup!$C$2:$C$9,MATCH(tblSales[[#This Row],[Category Code]],Lookup!$A$2:$A$9,0))</f>
        <v>Nervous system</v>
      </c>
    </row>
    <row r="398" spans="1:8" x14ac:dyDescent="0.25">
      <c r="A398" s="4">
        <v>43159</v>
      </c>
      <c r="B398" s="5">
        <f t="shared" si="18"/>
        <v>2018</v>
      </c>
      <c r="C398" s="5">
        <f t="shared" si="19"/>
        <v>2</v>
      </c>
      <c r="D398" s="5" t="s">
        <v>13</v>
      </c>
      <c r="E398" s="5" t="str">
        <f>VLOOKUP(D398,Lookup!$A$2:$C$9,2,FALSE())</f>
        <v>Anxiolytics</v>
      </c>
      <c r="F398" s="6">
        <v>268</v>
      </c>
      <c r="G398" s="5" t="str">
        <f t="shared" si="20"/>
        <v>No</v>
      </c>
      <c r="H398" t="str">
        <f>INDEX(Lookup!$C$2:$C$9,MATCH(tblSales[[#This Row],[Category Code]],Lookup!$A$2:$A$9,0))</f>
        <v>Nervous system</v>
      </c>
    </row>
    <row r="399" spans="1:8" x14ac:dyDescent="0.25">
      <c r="A399" s="4">
        <v>43159</v>
      </c>
      <c r="B399" s="5">
        <f t="shared" si="18"/>
        <v>2018</v>
      </c>
      <c r="C399" s="5">
        <f t="shared" si="19"/>
        <v>2</v>
      </c>
      <c r="D399" s="5" t="s">
        <v>14</v>
      </c>
      <c r="E399" s="5" t="str">
        <f>VLOOKUP(D399,Lookup!$A$2:$C$9,2,FALSE())</f>
        <v>Hypnotics &amp; sedatives</v>
      </c>
      <c r="F399" s="6">
        <v>12</v>
      </c>
      <c r="G399" s="5" t="str">
        <f t="shared" si="20"/>
        <v>No</v>
      </c>
      <c r="H399" t="str">
        <f>INDEX(Lookup!$C$2:$C$9,MATCH(tblSales[[#This Row],[Category Code]],Lookup!$A$2:$A$9,0))</f>
        <v>Nervous system</v>
      </c>
    </row>
    <row r="400" spans="1:8" x14ac:dyDescent="0.25">
      <c r="A400" s="4">
        <v>43159</v>
      </c>
      <c r="B400" s="5">
        <f t="shared" si="18"/>
        <v>2018</v>
      </c>
      <c r="C400" s="5">
        <f t="shared" si="19"/>
        <v>2</v>
      </c>
      <c r="D400" s="5" t="s">
        <v>15</v>
      </c>
      <c r="E400" s="5" t="str">
        <f>VLOOKUP(D400,Lookup!$A$2:$C$9,2,FALSE())</f>
        <v>Airway disease drugs</v>
      </c>
      <c r="F400" s="6">
        <v>224.25</v>
      </c>
      <c r="G400" s="5" t="str">
        <f t="shared" si="20"/>
        <v>No</v>
      </c>
      <c r="H400" t="str">
        <f>INDEX(Lookup!$C$2:$C$9,MATCH(tblSales[[#This Row],[Category Code]],Lookup!$A$2:$A$9,0))</f>
        <v>Respiratory system</v>
      </c>
    </row>
    <row r="401" spans="1:8" x14ac:dyDescent="0.25">
      <c r="A401" s="4">
        <v>43159</v>
      </c>
      <c r="B401" s="5">
        <f t="shared" si="18"/>
        <v>2018</v>
      </c>
      <c r="C401" s="5">
        <f t="shared" si="19"/>
        <v>2</v>
      </c>
      <c r="D401" s="5" t="s">
        <v>16</v>
      </c>
      <c r="E401" s="5" t="str">
        <f>VLOOKUP(D401,Lookup!$A$2:$C$9,2,FALSE())</f>
        <v>Antihistamines</v>
      </c>
      <c r="F401" s="6">
        <v>39.06</v>
      </c>
      <c r="G401" s="5" t="str">
        <f t="shared" si="20"/>
        <v>No</v>
      </c>
      <c r="H401" t="str">
        <f>INDEX(Lookup!$C$2:$C$9,MATCH(tblSales[[#This Row],[Category Code]],Lookup!$A$2:$A$9,0))</f>
        <v>Respiratory system</v>
      </c>
    </row>
    <row r="402" spans="1:8" x14ac:dyDescent="0.25">
      <c r="A402" s="4">
        <v>43190</v>
      </c>
      <c r="B402" s="5">
        <f t="shared" si="18"/>
        <v>2018</v>
      </c>
      <c r="C402" s="5">
        <f t="shared" si="19"/>
        <v>3</v>
      </c>
      <c r="D402" s="5" t="s">
        <v>9</v>
      </c>
      <c r="E402" s="5" t="str">
        <f>VLOOKUP(D402,Lookup!$A$2:$C$9,2,FALSE())</f>
        <v>Anti-inflammatory (acetic acid)</v>
      </c>
      <c r="F402" s="6">
        <v>146.16</v>
      </c>
      <c r="G402" s="5" t="str">
        <f t="shared" si="20"/>
        <v>No</v>
      </c>
      <c r="H402" t="str">
        <f>INDEX(Lookup!$C$2:$C$9,MATCH(tblSales[[#This Row],[Category Code]],Lookup!$A$2:$A$9,0))</f>
        <v>Musculo-skeletal system</v>
      </c>
    </row>
    <row r="403" spans="1:8" x14ac:dyDescent="0.25">
      <c r="A403" s="4">
        <v>43190</v>
      </c>
      <c r="B403" s="5">
        <f t="shared" si="18"/>
        <v>2018</v>
      </c>
      <c r="C403" s="5">
        <f t="shared" si="19"/>
        <v>3</v>
      </c>
      <c r="D403" s="5" t="s">
        <v>10</v>
      </c>
      <c r="E403" s="5" t="str">
        <f>VLOOKUP(D403,Lookup!$A$2:$C$9,2,FALSE())</f>
        <v>Anti-inflammatory (propionic acid)</v>
      </c>
      <c r="F403" s="6">
        <v>111.76</v>
      </c>
      <c r="G403" s="5" t="str">
        <f t="shared" si="20"/>
        <v>No</v>
      </c>
      <c r="H403" t="str">
        <f>INDEX(Lookup!$C$2:$C$9,MATCH(tblSales[[#This Row],[Category Code]],Lookup!$A$2:$A$9,0))</f>
        <v>Musculo-skeletal system</v>
      </c>
    </row>
    <row r="404" spans="1:8" x14ac:dyDescent="0.25">
      <c r="A404" s="4">
        <v>43190</v>
      </c>
      <c r="B404" s="5">
        <f t="shared" si="18"/>
        <v>2018</v>
      </c>
      <c r="C404" s="5">
        <f t="shared" si="19"/>
        <v>3</v>
      </c>
      <c r="D404" s="5" t="s">
        <v>11</v>
      </c>
      <c r="E404" s="5" t="str">
        <f>VLOOKUP(D404,Lookup!$A$2:$C$9,2,FALSE())</f>
        <v>Analgesic (salicylic acid)</v>
      </c>
      <c r="F404" s="6">
        <v>122.3</v>
      </c>
      <c r="G404" s="5" t="str">
        <f t="shared" si="20"/>
        <v>No</v>
      </c>
      <c r="H404" t="str">
        <f>INDEX(Lookup!$C$2:$C$9,MATCH(tblSales[[#This Row],[Category Code]],Lookup!$A$2:$A$9,0))</f>
        <v>Nervous system</v>
      </c>
    </row>
    <row r="405" spans="1:8" x14ac:dyDescent="0.25">
      <c r="A405" s="4">
        <v>43190</v>
      </c>
      <c r="B405" s="5">
        <f t="shared" si="18"/>
        <v>2018</v>
      </c>
      <c r="C405" s="5">
        <f t="shared" si="19"/>
        <v>3</v>
      </c>
      <c r="D405" s="5" t="s">
        <v>12</v>
      </c>
      <c r="E405" s="5" t="str">
        <f>VLOOKUP(D405,Lookup!$A$2:$C$9,2,FALSE())</f>
        <v>Analgesic (paracetamol-type)</v>
      </c>
      <c r="F405" s="6">
        <v>999.12</v>
      </c>
      <c r="G405" s="5" t="str">
        <f t="shared" si="20"/>
        <v>No</v>
      </c>
      <c r="H405" t="str">
        <f>INDEX(Lookup!$C$2:$C$9,MATCH(tblSales[[#This Row],[Category Code]],Lookup!$A$2:$A$9,0))</f>
        <v>Nervous system</v>
      </c>
    </row>
    <row r="406" spans="1:8" x14ac:dyDescent="0.25">
      <c r="A406" s="4">
        <v>43190</v>
      </c>
      <c r="B406" s="5">
        <f t="shared" si="18"/>
        <v>2018</v>
      </c>
      <c r="C406" s="5">
        <f t="shared" si="19"/>
        <v>3</v>
      </c>
      <c r="D406" s="5" t="s">
        <v>13</v>
      </c>
      <c r="E406" s="5" t="str">
        <f>VLOOKUP(D406,Lookup!$A$2:$C$9,2,FALSE())</f>
        <v>Anxiolytics</v>
      </c>
      <c r="F406" s="6">
        <v>381</v>
      </c>
      <c r="G406" s="5" t="str">
        <f t="shared" si="20"/>
        <v>No</v>
      </c>
      <c r="H406" t="str">
        <f>INDEX(Lookup!$C$2:$C$9,MATCH(tblSales[[#This Row],[Category Code]],Lookup!$A$2:$A$9,0))</f>
        <v>Nervous system</v>
      </c>
    </row>
    <row r="407" spans="1:8" x14ac:dyDescent="0.25">
      <c r="A407" s="4">
        <v>43190</v>
      </c>
      <c r="B407" s="5">
        <f t="shared" si="18"/>
        <v>2018</v>
      </c>
      <c r="C407" s="5">
        <f t="shared" si="19"/>
        <v>3</v>
      </c>
      <c r="D407" s="5" t="s">
        <v>14</v>
      </c>
      <c r="E407" s="5" t="str">
        <f>VLOOKUP(D407,Lookup!$A$2:$C$9,2,FALSE())</f>
        <v>Hypnotics &amp; sedatives</v>
      </c>
      <c r="F407" s="6">
        <v>42</v>
      </c>
      <c r="G407" s="5" t="str">
        <f t="shared" si="20"/>
        <v>No</v>
      </c>
      <c r="H407" t="str">
        <f>INDEX(Lookup!$C$2:$C$9,MATCH(tblSales[[#This Row],[Category Code]],Lookup!$A$2:$A$9,0))</f>
        <v>Nervous system</v>
      </c>
    </row>
    <row r="408" spans="1:8" x14ac:dyDescent="0.25">
      <c r="A408" s="4">
        <v>43190</v>
      </c>
      <c r="B408" s="5">
        <f t="shared" si="18"/>
        <v>2018</v>
      </c>
      <c r="C408" s="5">
        <f t="shared" si="19"/>
        <v>3</v>
      </c>
      <c r="D408" s="5" t="s">
        <v>15</v>
      </c>
      <c r="E408" s="5" t="str">
        <f>VLOOKUP(D408,Lookup!$A$2:$C$9,2,FALSE())</f>
        <v>Airway disease drugs</v>
      </c>
      <c r="F408" s="6">
        <v>269</v>
      </c>
      <c r="G408" s="5" t="str">
        <f t="shared" si="20"/>
        <v>No</v>
      </c>
      <c r="H408" t="str">
        <f>INDEX(Lookup!$C$2:$C$9,MATCH(tblSales[[#This Row],[Category Code]],Lookup!$A$2:$A$9,0))</f>
        <v>Respiratory system</v>
      </c>
    </row>
    <row r="409" spans="1:8" x14ac:dyDescent="0.25">
      <c r="A409" s="4">
        <v>43190</v>
      </c>
      <c r="B409" s="5">
        <f t="shared" si="18"/>
        <v>2018</v>
      </c>
      <c r="C409" s="5">
        <f t="shared" si="19"/>
        <v>3</v>
      </c>
      <c r="D409" s="5" t="s">
        <v>16</v>
      </c>
      <c r="E409" s="5" t="str">
        <f>VLOOKUP(D409,Lookup!$A$2:$C$9,2,FALSE())</f>
        <v>Antihistamines</v>
      </c>
      <c r="F409" s="6">
        <v>85.5</v>
      </c>
      <c r="G409" s="5" t="str">
        <f t="shared" si="20"/>
        <v>No</v>
      </c>
      <c r="H409" t="str">
        <f>INDEX(Lookup!$C$2:$C$9,MATCH(tblSales[[#This Row],[Category Code]],Lookup!$A$2:$A$9,0))</f>
        <v>Respiratory system</v>
      </c>
    </row>
    <row r="410" spans="1:8" x14ac:dyDescent="0.25">
      <c r="A410" s="4">
        <v>43220</v>
      </c>
      <c r="B410" s="5">
        <f t="shared" si="18"/>
        <v>2018</v>
      </c>
      <c r="C410" s="5">
        <f t="shared" si="19"/>
        <v>4</v>
      </c>
      <c r="D410" s="5" t="s">
        <v>9</v>
      </c>
      <c r="E410" s="5" t="str">
        <f>VLOOKUP(D410,Lookup!$A$2:$C$9,2,FALSE())</f>
        <v>Anti-inflammatory (acetic acid)</v>
      </c>
      <c r="F410" s="6">
        <v>170.02</v>
      </c>
      <c r="G410" s="5" t="str">
        <f t="shared" si="20"/>
        <v>No</v>
      </c>
      <c r="H410" t="str">
        <f>INDEX(Lookup!$C$2:$C$9,MATCH(tblSales[[#This Row],[Category Code]],Lookup!$A$2:$A$9,0))</f>
        <v>Musculo-skeletal system</v>
      </c>
    </row>
    <row r="411" spans="1:8" x14ac:dyDescent="0.25">
      <c r="A411" s="4">
        <v>43220</v>
      </c>
      <c r="B411" s="5">
        <f t="shared" si="18"/>
        <v>2018</v>
      </c>
      <c r="C411" s="5">
        <f t="shared" si="19"/>
        <v>4</v>
      </c>
      <c r="D411" s="5" t="s">
        <v>10</v>
      </c>
      <c r="E411" s="5" t="str">
        <f>VLOOKUP(D411,Lookup!$A$2:$C$9,2,FALSE())</f>
        <v>Anti-inflammatory (propionic acid)</v>
      </c>
      <c r="F411" s="6">
        <v>107.72</v>
      </c>
      <c r="G411" s="5" t="str">
        <f t="shared" si="20"/>
        <v>No</v>
      </c>
      <c r="H411" t="str">
        <f>INDEX(Lookup!$C$2:$C$9,MATCH(tblSales[[#This Row],[Category Code]],Lookup!$A$2:$A$9,0))</f>
        <v>Musculo-skeletal system</v>
      </c>
    </row>
    <row r="412" spans="1:8" x14ac:dyDescent="0.25">
      <c r="A412" s="4">
        <v>43220</v>
      </c>
      <c r="B412" s="5">
        <f t="shared" si="18"/>
        <v>2018</v>
      </c>
      <c r="C412" s="5">
        <f t="shared" si="19"/>
        <v>4</v>
      </c>
      <c r="D412" s="5" t="s">
        <v>11</v>
      </c>
      <c r="E412" s="5" t="str">
        <f>VLOOKUP(D412,Lookup!$A$2:$C$9,2,FALSE())</f>
        <v>Analgesic (salicylic acid)</v>
      </c>
      <c r="F412" s="6">
        <v>84.6</v>
      </c>
      <c r="G412" s="5" t="str">
        <f t="shared" si="20"/>
        <v>No</v>
      </c>
      <c r="H412" t="str">
        <f>INDEX(Lookup!$C$2:$C$9,MATCH(tblSales[[#This Row],[Category Code]],Lookup!$A$2:$A$9,0))</f>
        <v>Nervous system</v>
      </c>
    </row>
    <row r="413" spans="1:8" x14ac:dyDescent="0.25">
      <c r="A413" s="4">
        <v>43220</v>
      </c>
      <c r="B413" s="5">
        <f t="shared" si="18"/>
        <v>2018</v>
      </c>
      <c r="C413" s="5">
        <f t="shared" si="19"/>
        <v>4</v>
      </c>
      <c r="D413" s="5" t="s">
        <v>12</v>
      </c>
      <c r="E413" s="5" t="str">
        <f>VLOOKUP(D413,Lookup!$A$2:$C$9,2,FALSE())</f>
        <v>Analgesic (paracetamol-type)</v>
      </c>
      <c r="F413" s="6">
        <v>803.29</v>
      </c>
      <c r="G413" s="5" t="str">
        <f t="shared" si="20"/>
        <v>No</v>
      </c>
      <c r="H413" t="str">
        <f>INDEX(Lookup!$C$2:$C$9,MATCH(tblSales[[#This Row],[Category Code]],Lookup!$A$2:$A$9,0))</f>
        <v>Nervous system</v>
      </c>
    </row>
    <row r="414" spans="1:8" x14ac:dyDescent="0.25">
      <c r="A414" s="4">
        <v>43220</v>
      </c>
      <c r="B414" s="5">
        <f t="shared" si="18"/>
        <v>2018</v>
      </c>
      <c r="C414" s="5">
        <f t="shared" si="19"/>
        <v>4</v>
      </c>
      <c r="D414" s="5" t="s">
        <v>13</v>
      </c>
      <c r="E414" s="5" t="str">
        <f>VLOOKUP(D414,Lookup!$A$2:$C$9,2,FALSE())</f>
        <v>Anxiolytics</v>
      </c>
      <c r="F414" s="6">
        <v>289</v>
      </c>
      <c r="G414" s="5" t="str">
        <f t="shared" si="20"/>
        <v>No</v>
      </c>
      <c r="H414" t="str">
        <f>INDEX(Lookup!$C$2:$C$9,MATCH(tblSales[[#This Row],[Category Code]],Lookup!$A$2:$A$9,0))</f>
        <v>Nervous system</v>
      </c>
    </row>
    <row r="415" spans="1:8" x14ac:dyDescent="0.25">
      <c r="A415" s="4">
        <v>43220</v>
      </c>
      <c r="B415" s="5">
        <f t="shared" si="18"/>
        <v>2018</v>
      </c>
      <c r="C415" s="5">
        <f t="shared" si="19"/>
        <v>4</v>
      </c>
      <c r="D415" s="5" t="s">
        <v>14</v>
      </c>
      <c r="E415" s="5" t="str">
        <f>VLOOKUP(D415,Lookup!$A$2:$C$9,2,FALSE())</f>
        <v>Hypnotics &amp; sedatives</v>
      </c>
      <c r="F415" s="6">
        <v>14</v>
      </c>
      <c r="G415" s="5" t="str">
        <f t="shared" si="20"/>
        <v>No</v>
      </c>
      <c r="H415" t="str">
        <f>INDEX(Lookup!$C$2:$C$9,MATCH(tblSales[[#This Row],[Category Code]],Lookup!$A$2:$A$9,0))</f>
        <v>Nervous system</v>
      </c>
    </row>
    <row r="416" spans="1:8" x14ac:dyDescent="0.25">
      <c r="A416" s="4">
        <v>43220</v>
      </c>
      <c r="B416" s="5">
        <f t="shared" si="18"/>
        <v>2018</v>
      </c>
      <c r="C416" s="5">
        <f t="shared" si="19"/>
        <v>4</v>
      </c>
      <c r="D416" s="5" t="s">
        <v>15</v>
      </c>
      <c r="E416" s="5" t="str">
        <f>VLOOKUP(D416,Lookup!$A$2:$C$9,2,FALSE())</f>
        <v>Airway disease drugs</v>
      </c>
      <c r="F416" s="6">
        <v>229</v>
      </c>
      <c r="G416" s="5" t="str">
        <f t="shared" si="20"/>
        <v>No</v>
      </c>
      <c r="H416" t="str">
        <f>INDEX(Lookup!$C$2:$C$9,MATCH(tblSales[[#This Row],[Category Code]],Lookup!$A$2:$A$9,0))</f>
        <v>Respiratory system</v>
      </c>
    </row>
    <row r="417" spans="1:8" x14ac:dyDescent="0.25">
      <c r="A417" s="4">
        <v>43220</v>
      </c>
      <c r="B417" s="5">
        <f t="shared" si="18"/>
        <v>2018</v>
      </c>
      <c r="C417" s="5">
        <f t="shared" si="19"/>
        <v>4</v>
      </c>
      <c r="D417" s="5" t="s">
        <v>16</v>
      </c>
      <c r="E417" s="5" t="str">
        <f>VLOOKUP(D417,Lookup!$A$2:$C$9,2,FALSE())</f>
        <v>Antihistamines</v>
      </c>
      <c r="F417" s="6">
        <v>197.1</v>
      </c>
      <c r="G417" s="5" t="str">
        <f t="shared" si="20"/>
        <v>No</v>
      </c>
      <c r="H417" t="str">
        <f>INDEX(Lookup!$C$2:$C$9,MATCH(tblSales[[#This Row],[Category Code]],Lookup!$A$2:$A$9,0))</f>
        <v>Respiratory system</v>
      </c>
    </row>
    <row r="418" spans="1:8" x14ac:dyDescent="0.25">
      <c r="A418" s="4">
        <v>43251</v>
      </c>
      <c r="B418" s="5">
        <f t="shared" si="18"/>
        <v>2018</v>
      </c>
      <c r="C418" s="5">
        <f t="shared" si="19"/>
        <v>5</v>
      </c>
      <c r="D418" s="5" t="s">
        <v>9</v>
      </c>
      <c r="E418" s="5" t="str">
        <f>VLOOKUP(D418,Lookup!$A$2:$C$9,2,FALSE())</f>
        <v>Anti-inflammatory (acetic acid)</v>
      </c>
      <c r="F418" s="6">
        <v>160.52000000000001</v>
      </c>
      <c r="G418" s="5" t="str">
        <f t="shared" si="20"/>
        <v>No</v>
      </c>
      <c r="H418" t="str">
        <f>INDEX(Lookup!$C$2:$C$9,MATCH(tblSales[[#This Row],[Category Code]],Lookup!$A$2:$A$9,0))</f>
        <v>Musculo-skeletal system</v>
      </c>
    </row>
    <row r="419" spans="1:8" x14ac:dyDescent="0.25">
      <c r="A419" s="4">
        <v>43251</v>
      </c>
      <c r="B419" s="5">
        <f t="shared" si="18"/>
        <v>2018</v>
      </c>
      <c r="C419" s="5">
        <f t="shared" si="19"/>
        <v>5</v>
      </c>
      <c r="D419" s="5" t="s">
        <v>10</v>
      </c>
      <c r="E419" s="5" t="str">
        <f>VLOOKUP(D419,Lookup!$A$2:$C$9,2,FALSE())</f>
        <v>Anti-inflammatory (propionic acid)</v>
      </c>
      <c r="F419" s="6">
        <v>103.52</v>
      </c>
      <c r="G419" s="5" t="str">
        <f t="shared" si="20"/>
        <v>No</v>
      </c>
      <c r="H419" t="str">
        <f>INDEX(Lookup!$C$2:$C$9,MATCH(tblSales[[#This Row],[Category Code]],Lookup!$A$2:$A$9,0))</f>
        <v>Musculo-skeletal system</v>
      </c>
    </row>
    <row r="420" spans="1:8" x14ac:dyDescent="0.25">
      <c r="A420" s="4">
        <v>43251</v>
      </c>
      <c r="B420" s="5">
        <f t="shared" si="18"/>
        <v>2018</v>
      </c>
      <c r="C420" s="5">
        <f t="shared" si="19"/>
        <v>5</v>
      </c>
      <c r="D420" s="5" t="s">
        <v>11</v>
      </c>
      <c r="E420" s="5" t="str">
        <f>VLOOKUP(D420,Lookup!$A$2:$C$9,2,FALSE())</f>
        <v>Analgesic (salicylic acid)</v>
      </c>
      <c r="F420" s="6">
        <v>89.4</v>
      </c>
      <c r="G420" s="5" t="str">
        <f t="shared" si="20"/>
        <v>No</v>
      </c>
      <c r="H420" t="str">
        <f>INDEX(Lookup!$C$2:$C$9,MATCH(tblSales[[#This Row],[Category Code]],Lookup!$A$2:$A$9,0))</f>
        <v>Nervous system</v>
      </c>
    </row>
    <row r="421" spans="1:8" x14ac:dyDescent="0.25">
      <c r="A421" s="4">
        <v>43251</v>
      </c>
      <c r="B421" s="5">
        <f t="shared" si="18"/>
        <v>2018</v>
      </c>
      <c r="C421" s="5">
        <f t="shared" si="19"/>
        <v>5</v>
      </c>
      <c r="D421" s="5" t="s">
        <v>12</v>
      </c>
      <c r="E421" s="5" t="str">
        <f>VLOOKUP(D421,Lookup!$A$2:$C$9,2,FALSE())</f>
        <v>Analgesic (paracetamol-type)</v>
      </c>
      <c r="F421" s="6">
        <v>644.65</v>
      </c>
      <c r="G421" s="5" t="str">
        <f t="shared" si="20"/>
        <v>No</v>
      </c>
      <c r="H421" t="str">
        <f>INDEX(Lookup!$C$2:$C$9,MATCH(tblSales[[#This Row],[Category Code]],Lookup!$A$2:$A$9,0))</f>
        <v>Nervous system</v>
      </c>
    </row>
    <row r="422" spans="1:8" x14ac:dyDescent="0.25">
      <c r="A422" s="4">
        <v>43251</v>
      </c>
      <c r="B422" s="5">
        <f t="shared" si="18"/>
        <v>2018</v>
      </c>
      <c r="C422" s="5">
        <f t="shared" si="19"/>
        <v>5</v>
      </c>
      <c r="D422" s="5" t="s">
        <v>13</v>
      </c>
      <c r="E422" s="5" t="str">
        <f>VLOOKUP(D422,Lookup!$A$2:$C$9,2,FALSE())</f>
        <v>Anxiolytics</v>
      </c>
      <c r="F422" s="6">
        <v>259</v>
      </c>
      <c r="G422" s="5" t="str">
        <f t="shared" si="20"/>
        <v>No</v>
      </c>
      <c r="H422" t="str">
        <f>INDEX(Lookup!$C$2:$C$9,MATCH(tblSales[[#This Row],[Category Code]],Lookup!$A$2:$A$9,0))</f>
        <v>Nervous system</v>
      </c>
    </row>
    <row r="423" spans="1:8" x14ac:dyDescent="0.25">
      <c r="A423" s="4">
        <v>43251</v>
      </c>
      <c r="B423" s="5">
        <f t="shared" si="18"/>
        <v>2018</v>
      </c>
      <c r="C423" s="5">
        <f t="shared" si="19"/>
        <v>5</v>
      </c>
      <c r="D423" s="5" t="s">
        <v>14</v>
      </c>
      <c r="E423" s="5" t="str">
        <f>VLOOKUP(D423,Lookup!$A$2:$C$9,2,FALSE())</f>
        <v>Hypnotics &amp; sedatives</v>
      </c>
      <c r="F423" s="6">
        <v>13</v>
      </c>
      <c r="G423" s="5" t="str">
        <f t="shared" si="20"/>
        <v>No</v>
      </c>
      <c r="H423" t="str">
        <f>INDEX(Lookup!$C$2:$C$9,MATCH(tblSales[[#This Row],[Category Code]],Lookup!$A$2:$A$9,0))</f>
        <v>Nervous system</v>
      </c>
    </row>
    <row r="424" spans="1:8" x14ac:dyDescent="0.25">
      <c r="A424" s="4">
        <v>43251</v>
      </c>
      <c r="B424" s="5">
        <f t="shared" si="18"/>
        <v>2018</v>
      </c>
      <c r="C424" s="5">
        <f t="shared" si="19"/>
        <v>5</v>
      </c>
      <c r="D424" s="5" t="s">
        <v>15</v>
      </c>
      <c r="E424" s="5" t="str">
        <f>VLOOKUP(D424,Lookup!$A$2:$C$9,2,FALSE())</f>
        <v>Airway disease drugs</v>
      </c>
      <c r="F424" s="6">
        <v>167</v>
      </c>
      <c r="G424" s="5" t="str">
        <f t="shared" si="20"/>
        <v>No</v>
      </c>
      <c r="H424" t="str">
        <f>INDEX(Lookup!$C$2:$C$9,MATCH(tblSales[[#This Row],[Category Code]],Lookup!$A$2:$A$9,0))</f>
        <v>Respiratory system</v>
      </c>
    </row>
    <row r="425" spans="1:8" x14ac:dyDescent="0.25">
      <c r="A425" s="4">
        <v>43251</v>
      </c>
      <c r="B425" s="5">
        <f t="shared" si="18"/>
        <v>2018</v>
      </c>
      <c r="C425" s="5">
        <f t="shared" si="19"/>
        <v>5</v>
      </c>
      <c r="D425" s="5" t="s">
        <v>16</v>
      </c>
      <c r="E425" s="5" t="str">
        <f>VLOOKUP(D425,Lookup!$A$2:$C$9,2,FALSE())</f>
        <v>Antihistamines</v>
      </c>
      <c r="F425" s="6">
        <v>213.04</v>
      </c>
      <c r="G425" s="5" t="str">
        <f t="shared" si="20"/>
        <v>No</v>
      </c>
      <c r="H425" t="str">
        <f>INDEX(Lookup!$C$2:$C$9,MATCH(tblSales[[#This Row],[Category Code]],Lookup!$A$2:$A$9,0))</f>
        <v>Respiratory system</v>
      </c>
    </row>
    <row r="426" spans="1:8" x14ac:dyDescent="0.25">
      <c r="A426" s="4">
        <v>43281</v>
      </c>
      <c r="B426" s="5">
        <f t="shared" si="18"/>
        <v>2018</v>
      </c>
      <c r="C426" s="5">
        <f t="shared" si="19"/>
        <v>6</v>
      </c>
      <c r="D426" s="5" t="s">
        <v>9</v>
      </c>
      <c r="E426" s="5" t="str">
        <f>VLOOKUP(D426,Lookup!$A$2:$C$9,2,FALSE())</f>
        <v>Anti-inflammatory (acetic acid)</v>
      </c>
      <c r="F426" s="6">
        <v>141.18</v>
      </c>
      <c r="G426" s="5" t="str">
        <f t="shared" si="20"/>
        <v>No</v>
      </c>
      <c r="H426" t="str">
        <f>INDEX(Lookup!$C$2:$C$9,MATCH(tblSales[[#This Row],[Category Code]],Lookup!$A$2:$A$9,0))</f>
        <v>Musculo-skeletal system</v>
      </c>
    </row>
    <row r="427" spans="1:8" x14ac:dyDescent="0.25">
      <c r="A427" s="4">
        <v>43281</v>
      </c>
      <c r="B427" s="5">
        <f t="shared" si="18"/>
        <v>2018</v>
      </c>
      <c r="C427" s="5">
        <f t="shared" si="19"/>
        <v>6</v>
      </c>
      <c r="D427" s="5" t="s">
        <v>10</v>
      </c>
      <c r="E427" s="5" t="str">
        <f>VLOOKUP(D427,Lookup!$A$2:$C$9,2,FALSE())</f>
        <v>Anti-inflammatory (propionic acid)</v>
      </c>
      <c r="F427" s="6">
        <v>114.23</v>
      </c>
      <c r="G427" s="5" t="str">
        <f t="shared" si="20"/>
        <v>No</v>
      </c>
      <c r="H427" t="str">
        <f>INDEX(Lookup!$C$2:$C$9,MATCH(tblSales[[#This Row],[Category Code]],Lookup!$A$2:$A$9,0))</f>
        <v>Musculo-skeletal system</v>
      </c>
    </row>
    <row r="428" spans="1:8" x14ac:dyDescent="0.25">
      <c r="A428" s="4">
        <v>43281</v>
      </c>
      <c r="B428" s="5">
        <f t="shared" si="18"/>
        <v>2018</v>
      </c>
      <c r="C428" s="5">
        <f t="shared" si="19"/>
        <v>6</v>
      </c>
      <c r="D428" s="5" t="s">
        <v>11</v>
      </c>
      <c r="E428" s="5" t="str">
        <f>VLOOKUP(D428,Lookup!$A$2:$C$9,2,FALSE())</f>
        <v>Analgesic (salicylic acid)</v>
      </c>
      <c r="F428" s="6">
        <v>86.8</v>
      </c>
      <c r="G428" s="5" t="str">
        <f t="shared" si="20"/>
        <v>No</v>
      </c>
      <c r="H428" t="str">
        <f>INDEX(Lookup!$C$2:$C$9,MATCH(tblSales[[#This Row],[Category Code]],Lookup!$A$2:$A$9,0))</f>
        <v>Nervous system</v>
      </c>
    </row>
    <row r="429" spans="1:8" x14ac:dyDescent="0.25">
      <c r="A429" s="4">
        <v>43281</v>
      </c>
      <c r="B429" s="5">
        <f t="shared" si="18"/>
        <v>2018</v>
      </c>
      <c r="C429" s="5">
        <f t="shared" si="19"/>
        <v>6</v>
      </c>
      <c r="D429" s="5" t="s">
        <v>12</v>
      </c>
      <c r="E429" s="5" t="str">
        <f>VLOOKUP(D429,Lookup!$A$2:$C$9,2,FALSE())</f>
        <v>Analgesic (paracetamol-type)</v>
      </c>
      <c r="F429" s="6">
        <v>584.34</v>
      </c>
      <c r="G429" s="5" t="str">
        <f t="shared" si="20"/>
        <v>No</v>
      </c>
      <c r="H429" t="str">
        <f>INDEX(Lookup!$C$2:$C$9,MATCH(tblSales[[#This Row],[Category Code]],Lookup!$A$2:$A$9,0))</f>
        <v>Nervous system</v>
      </c>
    </row>
    <row r="430" spans="1:8" x14ac:dyDescent="0.25">
      <c r="A430" s="4">
        <v>43281</v>
      </c>
      <c r="B430" s="5">
        <f t="shared" si="18"/>
        <v>2018</v>
      </c>
      <c r="C430" s="5">
        <f t="shared" si="19"/>
        <v>6</v>
      </c>
      <c r="D430" s="5" t="s">
        <v>13</v>
      </c>
      <c r="E430" s="5" t="str">
        <f>VLOOKUP(D430,Lookup!$A$2:$C$9,2,FALSE())</f>
        <v>Anxiolytics</v>
      </c>
      <c r="F430" s="6">
        <v>248</v>
      </c>
      <c r="G430" s="5" t="str">
        <f t="shared" si="20"/>
        <v>No</v>
      </c>
      <c r="H430" t="str">
        <f>INDEX(Lookup!$C$2:$C$9,MATCH(tblSales[[#This Row],[Category Code]],Lookup!$A$2:$A$9,0))</f>
        <v>Nervous system</v>
      </c>
    </row>
    <row r="431" spans="1:8" x14ac:dyDescent="0.25">
      <c r="A431" s="4">
        <v>43281</v>
      </c>
      <c r="B431" s="5">
        <f t="shared" si="18"/>
        <v>2018</v>
      </c>
      <c r="C431" s="5">
        <f t="shared" si="19"/>
        <v>6</v>
      </c>
      <c r="D431" s="5" t="s">
        <v>14</v>
      </c>
      <c r="E431" s="5" t="str">
        <f>VLOOKUP(D431,Lookup!$A$2:$C$9,2,FALSE())</f>
        <v>Hypnotics &amp; sedatives</v>
      </c>
      <c r="F431" s="6">
        <v>18</v>
      </c>
      <c r="G431" s="5" t="str">
        <f t="shared" si="20"/>
        <v>No</v>
      </c>
      <c r="H431" t="str">
        <f>INDEX(Lookup!$C$2:$C$9,MATCH(tblSales[[#This Row],[Category Code]],Lookup!$A$2:$A$9,0))</f>
        <v>Nervous system</v>
      </c>
    </row>
    <row r="432" spans="1:8" x14ac:dyDescent="0.25">
      <c r="A432" s="4">
        <v>43281</v>
      </c>
      <c r="B432" s="5">
        <f t="shared" si="18"/>
        <v>2018</v>
      </c>
      <c r="C432" s="5">
        <f t="shared" si="19"/>
        <v>6</v>
      </c>
      <c r="D432" s="5" t="s">
        <v>15</v>
      </c>
      <c r="E432" s="5" t="str">
        <f>VLOOKUP(D432,Lookup!$A$2:$C$9,2,FALSE())</f>
        <v>Airway disease drugs</v>
      </c>
      <c r="F432" s="6">
        <v>101</v>
      </c>
      <c r="G432" s="5" t="str">
        <f t="shared" si="20"/>
        <v>No</v>
      </c>
      <c r="H432" t="str">
        <f>INDEX(Lookup!$C$2:$C$9,MATCH(tblSales[[#This Row],[Category Code]],Lookup!$A$2:$A$9,0))</f>
        <v>Respiratory system</v>
      </c>
    </row>
    <row r="433" spans="1:8" x14ac:dyDescent="0.25">
      <c r="A433" s="4">
        <v>43281</v>
      </c>
      <c r="B433" s="5">
        <f t="shared" si="18"/>
        <v>2018</v>
      </c>
      <c r="C433" s="5">
        <f t="shared" si="19"/>
        <v>6</v>
      </c>
      <c r="D433" s="5" t="s">
        <v>16</v>
      </c>
      <c r="E433" s="5" t="str">
        <f>VLOOKUP(D433,Lookup!$A$2:$C$9,2,FALSE())</f>
        <v>Antihistamines</v>
      </c>
      <c r="F433" s="6">
        <v>120.8</v>
      </c>
      <c r="G433" s="5" t="str">
        <f t="shared" si="20"/>
        <v>No</v>
      </c>
      <c r="H433" t="str">
        <f>INDEX(Lookup!$C$2:$C$9,MATCH(tblSales[[#This Row],[Category Code]],Lookup!$A$2:$A$9,0))</f>
        <v>Respiratory system</v>
      </c>
    </row>
    <row r="434" spans="1:8" x14ac:dyDescent="0.25">
      <c r="A434" s="4">
        <v>43312</v>
      </c>
      <c r="B434" s="5">
        <f t="shared" si="18"/>
        <v>2018</v>
      </c>
      <c r="C434" s="5">
        <f t="shared" si="19"/>
        <v>7</v>
      </c>
      <c r="D434" s="5" t="s">
        <v>9</v>
      </c>
      <c r="E434" s="5" t="str">
        <f>VLOOKUP(D434,Lookup!$A$2:$C$9,2,FALSE())</f>
        <v>Anti-inflammatory (acetic acid)</v>
      </c>
      <c r="F434" s="6">
        <v>150.18</v>
      </c>
      <c r="G434" s="5" t="str">
        <f t="shared" si="20"/>
        <v>No</v>
      </c>
      <c r="H434" t="str">
        <f>INDEX(Lookup!$C$2:$C$9,MATCH(tblSales[[#This Row],[Category Code]],Lookup!$A$2:$A$9,0))</f>
        <v>Musculo-skeletal system</v>
      </c>
    </row>
    <row r="435" spans="1:8" x14ac:dyDescent="0.25">
      <c r="A435" s="4">
        <v>43312</v>
      </c>
      <c r="B435" s="5">
        <f t="shared" si="18"/>
        <v>2018</v>
      </c>
      <c r="C435" s="5">
        <f t="shared" si="19"/>
        <v>7</v>
      </c>
      <c r="D435" s="5" t="s">
        <v>10</v>
      </c>
      <c r="E435" s="5" t="str">
        <f>VLOOKUP(D435,Lookup!$A$2:$C$9,2,FALSE())</f>
        <v>Anti-inflammatory (propionic acid)</v>
      </c>
      <c r="F435" s="6">
        <v>132.55000000000001</v>
      </c>
      <c r="G435" s="5" t="str">
        <f t="shared" si="20"/>
        <v>No</v>
      </c>
      <c r="H435" t="str">
        <f>INDEX(Lookup!$C$2:$C$9,MATCH(tblSales[[#This Row],[Category Code]],Lookup!$A$2:$A$9,0))</f>
        <v>Musculo-skeletal system</v>
      </c>
    </row>
    <row r="436" spans="1:8" x14ac:dyDescent="0.25">
      <c r="A436" s="4">
        <v>43312</v>
      </c>
      <c r="B436" s="5">
        <f t="shared" si="18"/>
        <v>2018</v>
      </c>
      <c r="C436" s="5">
        <f t="shared" si="19"/>
        <v>7</v>
      </c>
      <c r="D436" s="5" t="s">
        <v>11</v>
      </c>
      <c r="E436" s="5" t="str">
        <f>VLOOKUP(D436,Lookup!$A$2:$C$9,2,FALSE())</f>
        <v>Analgesic (salicylic acid)</v>
      </c>
      <c r="F436" s="6">
        <v>87.2</v>
      </c>
      <c r="G436" s="5" t="str">
        <f t="shared" si="20"/>
        <v>No</v>
      </c>
      <c r="H436" t="str">
        <f>INDEX(Lookup!$C$2:$C$9,MATCH(tblSales[[#This Row],[Category Code]],Lookup!$A$2:$A$9,0))</f>
        <v>Nervous system</v>
      </c>
    </row>
    <row r="437" spans="1:8" x14ac:dyDescent="0.25">
      <c r="A437" s="4">
        <v>43312</v>
      </c>
      <c r="B437" s="5">
        <f t="shared" si="18"/>
        <v>2018</v>
      </c>
      <c r="C437" s="5">
        <f t="shared" si="19"/>
        <v>7</v>
      </c>
      <c r="D437" s="5" t="s">
        <v>12</v>
      </c>
      <c r="E437" s="5" t="str">
        <f>VLOOKUP(D437,Lookup!$A$2:$C$9,2,FALSE())</f>
        <v>Analgesic (paracetamol-type)</v>
      </c>
      <c r="F437" s="6">
        <v>679.35</v>
      </c>
      <c r="G437" s="5" t="str">
        <f t="shared" si="20"/>
        <v>No</v>
      </c>
      <c r="H437" t="str">
        <f>INDEX(Lookup!$C$2:$C$9,MATCH(tblSales[[#This Row],[Category Code]],Lookup!$A$2:$A$9,0))</f>
        <v>Nervous system</v>
      </c>
    </row>
    <row r="438" spans="1:8" x14ac:dyDescent="0.25">
      <c r="A438" s="4">
        <v>43312</v>
      </c>
      <c r="B438" s="5">
        <f t="shared" si="18"/>
        <v>2018</v>
      </c>
      <c r="C438" s="5">
        <f t="shared" si="19"/>
        <v>7</v>
      </c>
      <c r="D438" s="5" t="s">
        <v>13</v>
      </c>
      <c r="E438" s="5" t="str">
        <f>VLOOKUP(D438,Lookup!$A$2:$C$9,2,FALSE())</f>
        <v>Anxiolytics</v>
      </c>
      <c r="F438" s="6">
        <v>283</v>
      </c>
      <c r="G438" s="5" t="str">
        <f t="shared" si="20"/>
        <v>No</v>
      </c>
      <c r="H438" t="str">
        <f>INDEX(Lookup!$C$2:$C$9,MATCH(tblSales[[#This Row],[Category Code]],Lookup!$A$2:$A$9,0))</f>
        <v>Nervous system</v>
      </c>
    </row>
    <row r="439" spans="1:8" x14ac:dyDescent="0.25">
      <c r="A439" s="4">
        <v>43312</v>
      </c>
      <c r="B439" s="5">
        <f t="shared" si="18"/>
        <v>2018</v>
      </c>
      <c r="C439" s="5">
        <f t="shared" si="19"/>
        <v>7</v>
      </c>
      <c r="D439" s="5" t="s">
        <v>14</v>
      </c>
      <c r="E439" s="5" t="str">
        <f>VLOOKUP(D439,Lookup!$A$2:$C$9,2,FALSE())</f>
        <v>Hypnotics &amp; sedatives</v>
      </c>
      <c r="F439" s="6">
        <v>19</v>
      </c>
      <c r="G439" s="5" t="str">
        <f t="shared" si="20"/>
        <v>No</v>
      </c>
      <c r="H439" t="str">
        <f>INDEX(Lookup!$C$2:$C$9,MATCH(tblSales[[#This Row],[Category Code]],Lookup!$A$2:$A$9,0))</f>
        <v>Nervous system</v>
      </c>
    </row>
    <row r="440" spans="1:8" x14ac:dyDescent="0.25">
      <c r="A440" s="4">
        <v>43312</v>
      </c>
      <c r="B440" s="5">
        <f t="shared" si="18"/>
        <v>2018</v>
      </c>
      <c r="C440" s="5">
        <f t="shared" si="19"/>
        <v>7</v>
      </c>
      <c r="D440" s="5" t="s">
        <v>15</v>
      </c>
      <c r="E440" s="5" t="str">
        <f>VLOOKUP(D440,Lookup!$A$2:$C$9,2,FALSE())</f>
        <v>Airway disease drugs</v>
      </c>
      <c r="F440" s="6">
        <v>90</v>
      </c>
      <c r="G440" s="5" t="str">
        <f t="shared" si="20"/>
        <v>No</v>
      </c>
      <c r="H440" t="str">
        <f>INDEX(Lookup!$C$2:$C$9,MATCH(tblSales[[#This Row],[Category Code]],Lookup!$A$2:$A$9,0))</f>
        <v>Respiratory system</v>
      </c>
    </row>
    <row r="441" spans="1:8" x14ac:dyDescent="0.25">
      <c r="A441" s="4">
        <v>43312</v>
      </c>
      <c r="B441" s="5">
        <f t="shared" si="18"/>
        <v>2018</v>
      </c>
      <c r="C441" s="5">
        <f t="shared" si="19"/>
        <v>7</v>
      </c>
      <c r="D441" s="5" t="s">
        <v>16</v>
      </c>
      <c r="E441" s="5" t="str">
        <f>VLOOKUP(D441,Lookup!$A$2:$C$9,2,FALSE())</f>
        <v>Antihistamines</v>
      </c>
      <c r="F441" s="6">
        <v>122.2</v>
      </c>
      <c r="G441" s="5" t="str">
        <f t="shared" si="20"/>
        <v>No</v>
      </c>
      <c r="H441" t="str">
        <f>INDEX(Lookup!$C$2:$C$9,MATCH(tblSales[[#This Row],[Category Code]],Lookup!$A$2:$A$9,0))</f>
        <v>Respiratory system</v>
      </c>
    </row>
    <row r="442" spans="1:8" x14ac:dyDescent="0.25">
      <c r="A442" s="4">
        <v>43343</v>
      </c>
      <c r="B442" s="5">
        <f t="shared" si="18"/>
        <v>2018</v>
      </c>
      <c r="C442" s="5">
        <f t="shared" si="19"/>
        <v>8</v>
      </c>
      <c r="D442" s="5" t="s">
        <v>9</v>
      </c>
      <c r="E442" s="5" t="str">
        <f>VLOOKUP(D442,Lookup!$A$2:$C$9,2,FALSE())</f>
        <v>Anti-inflammatory (acetic acid)</v>
      </c>
      <c r="F442" s="6">
        <v>140</v>
      </c>
      <c r="G442" s="5" t="str">
        <f t="shared" si="20"/>
        <v>No</v>
      </c>
      <c r="H442" t="str">
        <f>INDEX(Lookup!$C$2:$C$9,MATCH(tblSales[[#This Row],[Category Code]],Lookup!$A$2:$A$9,0))</f>
        <v>Musculo-skeletal system</v>
      </c>
    </row>
    <row r="443" spans="1:8" x14ac:dyDescent="0.25">
      <c r="A443" s="4">
        <v>43343</v>
      </c>
      <c r="B443" s="5">
        <f t="shared" si="18"/>
        <v>2018</v>
      </c>
      <c r="C443" s="5">
        <f t="shared" si="19"/>
        <v>8</v>
      </c>
      <c r="D443" s="5" t="s">
        <v>10</v>
      </c>
      <c r="E443" s="5" t="str">
        <f>VLOOKUP(D443,Lookup!$A$2:$C$9,2,FALSE())</f>
        <v>Anti-inflammatory (propionic acid)</v>
      </c>
      <c r="F443" s="6">
        <v>114.72</v>
      </c>
      <c r="G443" s="5" t="str">
        <f t="shared" si="20"/>
        <v>No</v>
      </c>
      <c r="H443" t="str">
        <f>INDEX(Lookup!$C$2:$C$9,MATCH(tblSales[[#This Row],[Category Code]],Lookup!$A$2:$A$9,0))</f>
        <v>Musculo-skeletal system</v>
      </c>
    </row>
    <row r="444" spans="1:8" x14ac:dyDescent="0.25">
      <c r="A444" s="4">
        <v>43343</v>
      </c>
      <c r="B444" s="5">
        <f t="shared" si="18"/>
        <v>2018</v>
      </c>
      <c r="C444" s="5">
        <f t="shared" si="19"/>
        <v>8</v>
      </c>
      <c r="D444" s="5" t="s">
        <v>11</v>
      </c>
      <c r="E444" s="5" t="str">
        <f>VLOOKUP(D444,Lookup!$A$2:$C$9,2,FALSE())</f>
        <v>Analgesic (salicylic acid)</v>
      </c>
      <c r="F444" s="6">
        <v>88.25</v>
      </c>
      <c r="G444" s="5" t="str">
        <f t="shared" si="20"/>
        <v>No</v>
      </c>
      <c r="H444" t="str">
        <f>INDEX(Lookup!$C$2:$C$9,MATCH(tblSales[[#This Row],[Category Code]],Lookup!$A$2:$A$9,0))</f>
        <v>Nervous system</v>
      </c>
    </row>
    <row r="445" spans="1:8" x14ac:dyDescent="0.25">
      <c r="A445" s="4">
        <v>43343</v>
      </c>
      <c r="B445" s="5">
        <f t="shared" si="18"/>
        <v>2018</v>
      </c>
      <c r="C445" s="5">
        <f t="shared" si="19"/>
        <v>8</v>
      </c>
      <c r="D445" s="5" t="s">
        <v>12</v>
      </c>
      <c r="E445" s="5" t="str">
        <f>VLOOKUP(D445,Lookup!$A$2:$C$9,2,FALSE())</f>
        <v>Analgesic (paracetamol-type)</v>
      </c>
      <c r="F445" s="6">
        <v>733.84</v>
      </c>
      <c r="G445" s="5" t="str">
        <f t="shared" si="20"/>
        <v>No</v>
      </c>
      <c r="H445" t="str">
        <f>INDEX(Lookup!$C$2:$C$9,MATCH(tblSales[[#This Row],[Category Code]],Lookup!$A$2:$A$9,0))</f>
        <v>Nervous system</v>
      </c>
    </row>
    <row r="446" spans="1:8" x14ac:dyDescent="0.25">
      <c r="A446" s="4">
        <v>43343</v>
      </c>
      <c r="B446" s="5">
        <f t="shared" si="18"/>
        <v>2018</v>
      </c>
      <c r="C446" s="5">
        <f t="shared" si="19"/>
        <v>8</v>
      </c>
      <c r="D446" s="5" t="s">
        <v>13</v>
      </c>
      <c r="E446" s="5" t="str">
        <f>VLOOKUP(D446,Lookup!$A$2:$C$9,2,FALSE())</f>
        <v>Anxiolytics</v>
      </c>
      <c r="F446" s="6">
        <v>253</v>
      </c>
      <c r="G446" s="5" t="str">
        <f t="shared" si="20"/>
        <v>No</v>
      </c>
      <c r="H446" t="str">
        <f>INDEX(Lookup!$C$2:$C$9,MATCH(tblSales[[#This Row],[Category Code]],Lookup!$A$2:$A$9,0))</f>
        <v>Nervous system</v>
      </c>
    </row>
    <row r="447" spans="1:8" x14ac:dyDescent="0.25">
      <c r="A447" s="4">
        <v>43343</v>
      </c>
      <c r="B447" s="5">
        <f t="shared" si="18"/>
        <v>2018</v>
      </c>
      <c r="C447" s="5">
        <f t="shared" si="19"/>
        <v>8</v>
      </c>
      <c r="D447" s="5" t="s">
        <v>14</v>
      </c>
      <c r="E447" s="5" t="str">
        <f>VLOOKUP(D447,Lookup!$A$2:$C$9,2,FALSE())</f>
        <v>Hypnotics &amp; sedatives</v>
      </c>
      <c r="F447" s="6">
        <v>20</v>
      </c>
      <c r="G447" s="5" t="str">
        <f t="shared" si="20"/>
        <v>No</v>
      </c>
      <c r="H447" t="str">
        <f>INDEX(Lookup!$C$2:$C$9,MATCH(tblSales[[#This Row],[Category Code]],Lookup!$A$2:$A$9,0))</f>
        <v>Nervous system</v>
      </c>
    </row>
    <row r="448" spans="1:8" x14ac:dyDescent="0.25">
      <c r="A448" s="4">
        <v>43343</v>
      </c>
      <c r="B448" s="5">
        <f t="shared" si="18"/>
        <v>2018</v>
      </c>
      <c r="C448" s="5">
        <f t="shared" si="19"/>
        <v>8</v>
      </c>
      <c r="D448" s="5" t="s">
        <v>15</v>
      </c>
      <c r="E448" s="5" t="str">
        <f>VLOOKUP(D448,Lookup!$A$2:$C$9,2,FALSE())</f>
        <v>Airway disease drugs</v>
      </c>
      <c r="F448" s="6">
        <v>159</v>
      </c>
      <c r="G448" s="5" t="str">
        <f t="shared" si="20"/>
        <v>No</v>
      </c>
      <c r="H448" t="str">
        <f>INDEX(Lookup!$C$2:$C$9,MATCH(tblSales[[#This Row],[Category Code]],Lookup!$A$2:$A$9,0))</f>
        <v>Respiratory system</v>
      </c>
    </row>
    <row r="449" spans="1:8" x14ac:dyDescent="0.25">
      <c r="A449" s="4">
        <v>43343</v>
      </c>
      <c r="B449" s="5">
        <f t="shared" si="18"/>
        <v>2018</v>
      </c>
      <c r="C449" s="5">
        <f t="shared" si="19"/>
        <v>8</v>
      </c>
      <c r="D449" s="5" t="s">
        <v>16</v>
      </c>
      <c r="E449" s="5" t="str">
        <f>VLOOKUP(D449,Lookup!$A$2:$C$9,2,FALSE())</f>
        <v>Antihistamines</v>
      </c>
      <c r="F449" s="6">
        <v>103.1</v>
      </c>
      <c r="G449" s="5" t="str">
        <f t="shared" si="20"/>
        <v>No</v>
      </c>
      <c r="H449" t="str">
        <f>INDEX(Lookup!$C$2:$C$9,MATCH(tblSales[[#This Row],[Category Code]],Lookup!$A$2:$A$9,0))</f>
        <v>Respiratory system</v>
      </c>
    </row>
    <row r="450" spans="1:8" x14ac:dyDescent="0.25">
      <c r="A450" s="4">
        <v>43373</v>
      </c>
      <c r="B450" s="5">
        <f t="shared" ref="B450:B513" si="21">YEAR(A450)</f>
        <v>2018</v>
      </c>
      <c r="C450" s="5">
        <f t="shared" ref="C450:C513" si="22">MONTH(A450)</f>
        <v>9</v>
      </c>
      <c r="D450" s="5" t="s">
        <v>9</v>
      </c>
      <c r="E450" s="5" t="str">
        <f>VLOOKUP(D450,Lookup!$A$2:$C$9,2,FALSE())</f>
        <v>Anti-inflammatory (acetic acid)</v>
      </c>
      <c r="F450" s="6">
        <v>153.52000000000001</v>
      </c>
      <c r="G450" s="5" t="str">
        <f t="shared" ref="G450:G513" si="23">IF(A450=DATE(2019,10,31),"Yes","No")</f>
        <v>No</v>
      </c>
      <c r="H450" t="str">
        <f>INDEX(Lookup!$C$2:$C$9,MATCH(tblSales[[#This Row],[Category Code]],Lookup!$A$2:$A$9,0))</f>
        <v>Musculo-skeletal system</v>
      </c>
    </row>
    <row r="451" spans="1:8" x14ac:dyDescent="0.25">
      <c r="A451" s="4">
        <v>43373</v>
      </c>
      <c r="B451" s="5">
        <f t="shared" si="21"/>
        <v>2018</v>
      </c>
      <c r="C451" s="5">
        <f t="shared" si="22"/>
        <v>9</v>
      </c>
      <c r="D451" s="5" t="s">
        <v>10</v>
      </c>
      <c r="E451" s="5" t="str">
        <f>VLOOKUP(D451,Lookup!$A$2:$C$9,2,FALSE())</f>
        <v>Anti-inflammatory (propionic acid)</v>
      </c>
      <c r="F451" s="6">
        <v>114.99</v>
      </c>
      <c r="G451" s="5" t="str">
        <f t="shared" si="23"/>
        <v>No</v>
      </c>
      <c r="H451" t="str">
        <f>INDEX(Lookup!$C$2:$C$9,MATCH(tblSales[[#This Row],[Category Code]],Lookup!$A$2:$A$9,0))</f>
        <v>Musculo-skeletal system</v>
      </c>
    </row>
    <row r="452" spans="1:8" x14ac:dyDescent="0.25">
      <c r="A452" s="4">
        <v>43373</v>
      </c>
      <c r="B452" s="5">
        <f t="shared" si="21"/>
        <v>2018</v>
      </c>
      <c r="C452" s="5">
        <f t="shared" si="22"/>
        <v>9</v>
      </c>
      <c r="D452" s="5" t="s">
        <v>11</v>
      </c>
      <c r="E452" s="5" t="str">
        <f>VLOOKUP(D452,Lookup!$A$2:$C$9,2,FALSE())</f>
        <v>Analgesic (salicylic acid)</v>
      </c>
      <c r="F452" s="6">
        <v>86.5</v>
      </c>
      <c r="G452" s="5" t="str">
        <f t="shared" si="23"/>
        <v>No</v>
      </c>
      <c r="H452" t="str">
        <f>INDEX(Lookup!$C$2:$C$9,MATCH(tblSales[[#This Row],[Category Code]],Lookup!$A$2:$A$9,0))</f>
        <v>Nervous system</v>
      </c>
    </row>
    <row r="453" spans="1:8" x14ac:dyDescent="0.25">
      <c r="A453" s="4">
        <v>43373</v>
      </c>
      <c r="B453" s="5">
        <f t="shared" si="21"/>
        <v>2018</v>
      </c>
      <c r="C453" s="5">
        <f t="shared" si="22"/>
        <v>9</v>
      </c>
      <c r="D453" s="5" t="s">
        <v>12</v>
      </c>
      <c r="E453" s="5" t="str">
        <f>VLOOKUP(D453,Lookup!$A$2:$C$9,2,FALSE())</f>
        <v>Analgesic (paracetamol-type)</v>
      </c>
      <c r="F453" s="6">
        <v>1058.26</v>
      </c>
      <c r="G453" s="5" t="str">
        <f t="shared" si="23"/>
        <v>No</v>
      </c>
      <c r="H453" t="str">
        <f>INDEX(Lookup!$C$2:$C$9,MATCH(tblSales[[#This Row],[Category Code]],Lookup!$A$2:$A$9,0))</f>
        <v>Nervous system</v>
      </c>
    </row>
    <row r="454" spans="1:8" x14ac:dyDescent="0.25">
      <c r="A454" s="4">
        <v>43373</v>
      </c>
      <c r="B454" s="5">
        <f t="shared" si="21"/>
        <v>2018</v>
      </c>
      <c r="C454" s="5">
        <f t="shared" si="22"/>
        <v>9</v>
      </c>
      <c r="D454" s="5" t="s">
        <v>13</v>
      </c>
      <c r="E454" s="5" t="str">
        <f>VLOOKUP(D454,Lookup!$A$2:$C$9,2,FALSE())</f>
        <v>Anxiolytics</v>
      </c>
      <c r="F454" s="6">
        <v>263</v>
      </c>
      <c r="G454" s="5" t="str">
        <f t="shared" si="23"/>
        <v>No</v>
      </c>
      <c r="H454" t="str">
        <f>INDEX(Lookup!$C$2:$C$9,MATCH(tblSales[[#This Row],[Category Code]],Lookup!$A$2:$A$9,0))</f>
        <v>Nervous system</v>
      </c>
    </row>
    <row r="455" spans="1:8" x14ac:dyDescent="0.25">
      <c r="A455" s="4">
        <v>43373</v>
      </c>
      <c r="B455" s="5">
        <f t="shared" si="21"/>
        <v>2018</v>
      </c>
      <c r="C455" s="5">
        <f t="shared" si="22"/>
        <v>9</v>
      </c>
      <c r="D455" s="5" t="s">
        <v>14</v>
      </c>
      <c r="E455" s="5" t="str">
        <f>VLOOKUP(D455,Lookup!$A$2:$C$9,2,FALSE())</f>
        <v>Hypnotics &amp; sedatives</v>
      </c>
      <c r="F455" s="6">
        <v>12</v>
      </c>
      <c r="G455" s="5" t="str">
        <f t="shared" si="23"/>
        <v>No</v>
      </c>
      <c r="H455" t="str">
        <f>INDEX(Lookup!$C$2:$C$9,MATCH(tblSales[[#This Row],[Category Code]],Lookup!$A$2:$A$9,0))</f>
        <v>Nervous system</v>
      </c>
    </row>
    <row r="456" spans="1:8" x14ac:dyDescent="0.25">
      <c r="A456" s="4">
        <v>43373</v>
      </c>
      <c r="B456" s="5">
        <f t="shared" si="21"/>
        <v>2018</v>
      </c>
      <c r="C456" s="5">
        <f t="shared" si="22"/>
        <v>9</v>
      </c>
      <c r="D456" s="5" t="s">
        <v>15</v>
      </c>
      <c r="E456" s="5" t="str">
        <f>VLOOKUP(D456,Lookup!$A$2:$C$9,2,FALSE())</f>
        <v>Airway disease drugs</v>
      </c>
      <c r="F456" s="6">
        <v>205</v>
      </c>
      <c r="G456" s="5" t="str">
        <f t="shared" si="23"/>
        <v>No</v>
      </c>
      <c r="H456" t="str">
        <f>INDEX(Lookup!$C$2:$C$9,MATCH(tblSales[[#This Row],[Category Code]],Lookup!$A$2:$A$9,0))</f>
        <v>Respiratory system</v>
      </c>
    </row>
    <row r="457" spans="1:8" x14ac:dyDescent="0.25">
      <c r="A457" s="4">
        <v>43373</v>
      </c>
      <c r="B457" s="5">
        <f t="shared" si="21"/>
        <v>2018</v>
      </c>
      <c r="C457" s="5">
        <f t="shared" si="22"/>
        <v>9</v>
      </c>
      <c r="D457" s="5" t="s">
        <v>16</v>
      </c>
      <c r="E457" s="5" t="str">
        <f>VLOOKUP(D457,Lookup!$A$2:$C$9,2,FALSE())</f>
        <v>Antihistamines</v>
      </c>
      <c r="F457" s="6">
        <v>88.1</v>
      </c>
      <c r="G457" s="5" t="str">
        <f t="shared" si="23"/>
        <v>No</v>
      </c>
      <c r="H457" t="str">
        <f>INDEX(Lookup!$C$2:$C$9,MATCH(tblSales[[#This Row],[Category Code]],Lookup!$A$2:$A$9,0))</f>
        <v>Respiratory system</v>
      </c>
    </row>
    <row r="458" spans="1:8" x14ac:dyDescent="0.25">
      <c r="A458" s="4">
        <v>43404</v>
      </c>
      <c r="B458" s="5">
        <f t="shared" si="21"/>
        <v>2018</v>
      </c>
      <c r="C458" s="5">
        <f t="shared" si="22"/>
        <v>10</v>
      </c>
      <c r="D458" s="5" t="s">
        <v>9</v>
      </c>
      <c r="E458" s="5" t="str">
        <f>VLOOKUP(D458,Lookup!$A$2:$C$9,2,FALSE())</f>
        <v>Anti-inflammatory (acetic acid)</v>
      </c>
      <c r="F458" s="6">
        <v>144.71</v>
      </c>
      <c r="G458" s="5" t="str">
        <f t="shared" si="23"/>
        <v>No</v>
      </c>
      <c r="H458" t="str">
        <f>INDEX(Lookup!$C$2:$C$9,MATCH(tblSales[[#This Row],[Category Code]],Lookup!$A$2:$A$9,0))</f>
        <v>Musculo-skeletal system</v>
      </c>
    </row>
    <row r="459" spans="1:8" x14ac:dyDescent="0.25">
      <c r="A459" s="4">
        <v>43404</v>
      </c>
      <c r="B459" s="5">
        <f t="shared" si="21"/>
        <v>2018</v>
      </c>
      <c r="C459" s="5">
        <f t="shared" si="22"/>
        <v>10</v>
      </c>
      <c r="D459" s="5" t="s">
        <v>10</v>
      </c>
      <c r="E459" s="5" t="str">
        <f>VLOOKUP(D459,Lookup!$A$2:$C$9,2,FALSE())</f>
        <v>Anti-inflammatory (propionic acid)</v>
      </c>
      <c r="F459" s="6">
        <v>129.4</v>
      </c>
      <c r="G459" s="5" t="str">
        <f t="shared" si="23"/>
        <v>No</v>
      </c>
      <c r="H459" t="str">
        <f>INDEX(Lookup!$C$2:$C$9,MATCH(tblSales[[#This Row],[Category Code]],Lookup!$A$2:$A$9,0))</f>
        <v>Musculo-skeletal system</v>
      </c>
    </row>
    <row r="460" spans="1:8" x14ac:dyDescent="0.25">
      <c r="A460" s="4">
        <v>43404</v>
      </c>
      <c r="B460" s="5">
        <f t="shared" si="21"/>
        <v>2018</v>
      </c>
      <c r="C460" s="5">
        <f t="shared" si="22"/>
        <v>10</v>
      </c>
      <c r="D460" s="5" t="s">
        <v>11</v>
      </c>
      <c r="E460" s="5" t="str">
        <f>VLOOKUP(D460,Lookup!$A$2:$C$9,2,FALSE())</f>
        <v>Analgesic (salicylic acid)</v>
      </c>
      <c r="F460" s="6">
        <v>76.05</v>
      </c>
      <c r="G460" s="5" t="str">
        <f t="shared" si="23"/>
        <v>No</v>
      </c>
      <c r="H460" t="str">
        <f>INDEX(Lookup!$C$2:$C$9,MATCH(tblSales[[#This Row],[Category Code]],Lookup!$A$2:$A$9,0))</f>
        <v>Nervous system</v>
      </c>
    </row>
    <row r="461" spans="1:8" x14ac:dyDescent="0.25">
      <c r="A461" s="4">
        <v>43404</v>
      </c>
      <c r="B461" s="5">
        <f t="shared" si="21"/>
        <v>2018</v>
      </c>
      <c r="C461" s="5">
        <f t="shared" si="22"/>
        <v>10</v>
      </c>
      <c r="D461" s="5" t="s">
        <v>12</v>
      </c>
      <c r="E461" s="5" t="str">
        <f>VLOOKUP(D461,Lookup!$A$2:$C$9,2,FALSE())</f>
        <v>Analgesic (paracetamol-type)</v>
      </c>
      <c r="F461" s="6">
        <v>1129.28</v>
      </c>
      <c r="G461" s="5" t="str">
        <f t="shared" si="23"/>
        <v>No</v>
      </c>
      <c r="H461" t="str">
        <f>INDEX(Lookup!$C$2:$C$9,MATCH(tblSales[[#This Row],[Category Code]],Lookup!$A$2:$A$9,0))</f>
        <v>Nervous system</v>
      </c>
    </row>
    <row r="462" spans="1:8" x14ac:dyDescent="0.25">
      <c r="A462" s="4">
        <v>43404</v>
      </c>
      <c r="B462" s="5">
        <f t="shared" si="21"/>
        <v>2018</v>
      </c>
      <c r="C462" s="5">
        <f t="shared" si="22"/>
        <v>10</v>
      </c>
      <c r="D462" s="5" t="s">
        <v>13</v>
      </c>
      <c r="E462" s="5" t="str">
        <f>VLOOKUP(D462,Lookup!$A$2:$C$9,2,FALSE())</f>
        <v>Anxiolytics</v>
      </c>
      <c r="F462" s="6">
        <v>287</v>
      </c>
      <c r="G462" s="5" t="str">
        <f t="shared" si="23"/>
        <v>No</v>
      </c>
      <c r="H462" t="str">
        <f>INDEX(Lookup!$C$2:$C$9,MATCH(tblSales[[#This Row],[Category Code]],Lookup!$A$2:$A$9,0))</f>
        <v>Nervous system</v>
      </c>
    </row>
    <row r="463" spans="1:8" x14ac:dyDescent="0.25">
      <c r="A463" s="4">
        <v>43404</v>
      </c>
      <c r="B463" s="5">
        <f t="shared" si="21"/>
        <v>2018</v>
      </c>
      <c r="C463" s="5">
        <f t="shared" si="22"/>
        <v>10</v>
      </c>
      <c r="D463" s="5" t="s">
        <v>14</v>
      </c>
      <c r="E463" s="5" t="str">
        <f>VLOOKUP(D463,Lookup!$A$2:$C$9,2,FALSE())</f>
        <v>Hypnotics &amp; sedatives</v>
      </c>
      <c r="F463" s="6">
        <v>25</v>
      </c>
      <c r="G463" s="5" t="str">
        <f t="shared" si="23"/>
        <v>No</v>
      </c>
      <c r="H463" t="str">
        <f>INDEX(Lookup!$C$2:$C$9,MATCH(tblSales[[#This Row],[Category Code]],Lookup!$A$2:$A$9,0))</f>
        <v>Nervous system</v>
      </c>
    </row>
    <row r="464" spans="1:8" x14ac:dyDescent="0.25">
      <c r="A464" s="4">
        <v>43404</v>
      </c>
      <c r="B464" s="5">
        <f t="shared" si="21"/>
        <v>2018</v>
      </c>
      <c r="C464" s="5">
        <f t="shared" si="22"/>
        <v>10</v>
      </c>
      <c r="D464" s="5" t="s">
        <v>15</v>
      </c>
      <c r="E464" s="5" t="str">
        <f>VLOOKUP(D464,Lookup!$A$2:$C$9,2,FALSE())</f>
        <v>Airway disease drugs</v>
      </c>
      <c r="F464" s="6">
        <v>327</v>
      </c>
      <c r="G464" s="5" t="str">
        <f t="shared" si="23"/>
        <v>No</v>
      </c>
      <c r="H464" t="str">
        <f>INDEX(Lookup!$C$2:$C$9,MATCH(tblSales[[#This Row],[Category Code]],Lookup!$A$2:$A$9,0))</f>
        <v>Respiratory system</v>
      </c>
    </row>
    <row r="465" spans="1:8" x14ac:dyDescent="0.25">
      <c r="A465" s="4">
        <v>43404</v>
      </c>
      <c r="B465" s="5">
        <f t="shared" si="21"/>
        <v>2018</v>
      </c>
      <c r="C465" s="5">
        <f t="shared" si="22"/>
        <v>10</v>
      </c>
      <c r="D465" s="5" t="s">
        <v>16</v>
      </c>
      <c r="E465" s="5" t="str">
        <f>VLOOKUP(D465,Lookup!$A$2:$C$9,2,FALSE())</f>
        <v>Antihistamines</v>
      </c>
      <c r="F465" s="6">
        <v>76.900000000000006</v>
      </c>
      <c r="G465" s="5" t="str">
        <f t="shared" si="23"/>
        <v>No</v>
      </c>
      <c r="H465" t="str">
        <f>INDEX(Lookup!$C$2:$C$9,MATCH(tblSales[[#This Row],[Category Code]],Lookup!$A$2:$A$9,0))</f>
        <v>Respiratory system</v>
      </c>
    </row>
    <row r="466" spans="1:8" x14ac:dyDescent="0.25">
      <c r="A466" s="4">
        <v>43434</v>
      </c>
      <c r="B466" s="5">
        <f t="shared" si="21"/>
        <v>2018</v>
      </c>
      <c r="C466" s="5">
        <f t="shared" si="22"/>
        <v>11</v>
      </c>
      <c r="D466" s="5" t="s">
        <v>9</v>
      </c>
      <c r="E466" s="5" t="str">
        <f>VLOOKUP(D466,Lookup!$A$2:$C$9,2,FALSE())</f>
        <v>Anti-inflammatory (acetic acid)</v>
      </c>
      <c r="F466" s="6">
        <v>172.29</v>
      </c>
      <c r="G466" s="5" t="str">
        <f t="shared" si="23"/>
        <v>No</v>
      </c>
      <c r="H466" t="str">
        <f>INDEX(Lookup!$C$2:$C$9,MATCH(tblSales[[#This Row],[Category Code]],Lookup!$A$2:$A$9,0))</f>
        <v>Musculo-skeletal system</v>
      </c>
    </row>
    <row r="467" spans="1:8" x14ac:dyDescent="0.25">
      <c r="A467" s="4">
        <v>43434</v>
      </c>
      <c r="B467" s="5">
        <f t="shared" si="21"/>
        <v>2018</v>
      </c>
      <c r="C467" s="5">
        <f t="shared" si="22"/>
        <v>11</v>
      </c>
      <c r="D467" s="5" t="s">
        <v>10</v>
      </c>
      <c r="E467" s="5" t="str">
        <f>VLOOKUP(D467,Lookup!$A$2:$C$9,2,FALSE())</f>
        <v>Anti-inflammatory (propionic acid)</v>
      </c>
      <c r="F467" s="6">
        <v>105.49</v>
      </c>
      <c r="G467" s="5" t="str">
        <f t="shared" si="23"/>
        <v>No</v>
      </c>
      <c r="H467" t="str">
        <f>INDEX(Lookup!$C$2:$C$9,MATCH(tblSales[[#This Row],[Category Code]],Lookup!$A$2:$A$9,0))</f>
        <v>Musculo-skeletal system</v>
      </c>
    </row>
    <row r="468" spans="1:8" x14ac:dyDescent="0.25">
      <c r="A468" s="4">
        <v>43434</v>
      </c>
      <c r="B468" s="5">
        <f t="shared" si="21"/>
        <v>2018</v>
      </c>
      <c r="C468" s="5">
        <f t="shared" si="22"/>
        <v>11</v>
      </c>
      <c r="D468" s="5" t="s">
        <v>11</v>
      </c>
      <c r="E468" s="5" t="str">
        <f>VLOOKUP(D468,Lookup!$A$2:$C$9,2,FALSE())</f>
        <v>Analgesic (salicylic acid)</v>
      </c>
      <c r="F468" s="6">
        <v>102.15</v>
      </c>
      <c r="G468" s="5" t="str">
        <f t="shared" si="23"/>
        <v>No</v>
      </c>
      <c r="H468" t="str">
        <f>INDEX(Lookup!$C$2:$C$9,MATCH(tblSales[[#This Row],[Category Code]],Lookup!$A$2:$A$9,0))</f>
        <v>Nervous system</v>
      </c>
    </row>
    <row r="469" spans="1:8" x14ac:dyDescent="0.25">
      <c r="A469" s="4">
        <v>43434</v>
      </c>
      <c r="B469" s="5">
        <f t="shared" si="21"/>
        <v>2018</v>
      </c>
      <c r="C469" s="5">
        <f t="shared" si="22"/>
        <v>11</v>
      </c>
      <c r="D469" s="5" t="s">
        <v>12</v>
      </c>
      <c r="E469" s="5" t="str">
        <f>VLOOKUP(D469,Lookup!$A$2:$C$9,2,FALSE())</f>
        <v>Analgesic (paracetamol-type)</v>
      </c>
      <c r="F469" s="6">
        <v>995.15</v>
      </c>
      <c r="G469" s="5" t="str">
        <f t="shared" si="23"/>
        <v>No</v>
      </c>
      <c r="H469" t="str">
        <f>INDEX(Lookup!$C$2:$C$9,MATCH(tblSales[[#This Row],[Category Code]],Lookup!$A$2:$A$9,0))</f>
        <v>Nervous system</v>
      </c>
    </row>
    <row r="470" spans="1:8" x14ac:dyDescent="0.25">
      <c r="A470" s="4">
        <v>43434</v>
      </c>
      <c r="B470" s="5">
        <f t="shared" si="21"/>
        <v>2018</v>
      </c>
      <c r="C470" s="5">
        <f t="shared" si="22"/>
        <v>11</v>
      </c>
      <c r="D470" s="5" t="s">
        <v>13</v>
      </c>
      <c r="E470" s="5" t="str">
        <f>VLOOKUP(D470,Lookup!$A$2:$C$9,2,FALSE())</f>
        <v>Anxiolytics</v>
      </c>
      <c r="F470" s="6">
        <v>252.2</v>
      </c>
      <c r="G470" s="5" t="str">
        <f t="shared" si="23"/>
        <v>No</v>
      </c>
      <c r="H470" t="str">
        <f>INDEX(Lookup!$C$2:$C$9,MATCH(tblSales[[#This Row],[Category Code]],Lookup!$A$2:$A$9,0))</f>
        <v>Nervous system</v>
      </c>
    </row>
    <row r="471" spans="1:8" x14ac:dyDescent="0.25">
      <c r="A471" s="4">
        <v>43434</v>
      </c>
      <c r="B471" s="5">
        <f t="shared" si="21"/>
        <v>2018</v>
      </c>
      <c r="C471" s="5">
        <f t="shared" si="22"/>
        <v>11</v>
      </c>
      <c r="D471" s="5" t="s">
        <v>14</v>
      </c>
      <c r="E471" s="5" t="str">
        <f>VLOOKUP(D471,Lookup!$A$2:$C$9,2,FALSE())</f>
        <v>Hypnotics &amp; sedatives</v>
      </c>
      <c r="F471" s="6">
        <v>22</v>
      </c>
      <c r="G471" s="5" t="str">
        <f t="shared" si="23"/>
        <v>No</v>
      </c>
      <c r="H471" t="str">
        <f>INDEX(Lookup!$C$2:$C$9,MATCH(tblSales[[#This Row],[Category Code]],Lookup!$A$2:$A$9,0))</f>
        <v>Nervous system</v>
      </c>
    </row>
    <row r="472" spans="1:8" x14ac:dyDescent="0.25">
      <c r="A472" s="4">
        <v>43434</v>
      </c>
      <c r="B472" s="5">
        <f t="shared" si="21"/>
        <v>2018</v>
      </c>
      <c r="C472" s="5">
        <f t="shared" si="22"/>
        <v>11</v>
      </c>
      <c r="D472" s="5" t="s">
        <v>15</v>
      </c>
      <c r="E472" s="5" t="str">
        <f>VLOOKUP(D472,Lookup!$A$2:$C$9,2,FALSE())</f>
        <v>Airway disease drugs</v>
      </c>
      <c r="F472" s="6">
        <v>311</v>
      </c>
      <c r="G472" s="5" t="str">
        <f t="shared" si="23"/>
        <v>No</v>
      </c>
      <c r="H472" t="str">
        <f>INDEX(Lookup!$C$2:$C$9,MATCH(tblSales[[#This Row],[Category Code]],Lookup!$A$2:$A$9,0))</f>
        <v>Respiratory system</v>
      </c>
    </row>
    <row r="473" spans="1:8" x14ac:dyDescent="0.25">
      <c r="A473" s="4">
        <v>43434</v>
      </c>
      <c r="B473" s="5">
        <f t="shared" si="21"/>
        <v>2018</v>
      </c>
      <c r="C473" s="5">
        <f t="shared" si="22"/>
        <v>11</v>
      </c>
      <c r="D473" s="5" t="s">
        <v>16</v>
      </c>
      <c r="E473" s="5" t="str">
        <f>VLOOKUP(D473,Lookup!$A$2:$C$9,2,FALSE())</f>
        <v>Antihistamines</v>
      </c>
      <c r="F473" s="6">
        <v>48.4</v>
      </c>
      <c r="G473" s="5" t="str">
        <f t="shared" si="23"/>
        <v>No</v>
      </c>
      <c r="H473" t="str">
        <f>INDEX(Lookup!$C$2:$C$9,MATCH(tblSales[[#This Row],[Category Code]],Lookup!$A$2:$A$9,0))</f>
        <v>Respiratory system</v>
      </c>
    </row>
    <row r="474" spans="1:8" x14ac:dyDescent="0.25">
      <c r="A474" s="4">
        <v>43465</v>
      </c>
      <c r="B474" s="5">
        <f t="shared" si="21"/>
        <v>2018</v>
      </c>
      <c r="C474" s="5">
        <f t="shared" si="22"/>
        <v>12</v>
      </c>
      <c r="D474" s="5" t="s">
        <v>9</v>
      </c>
      <c r="E474" s="5" t="str">
        <f>VLOOKUP(D474,Lookup!$A$2:$C$9,2,FALSE())</f>
        <v>Anti-inflammatory (acetic acid)</v>
      </c>
      <c r="F474" s="6">
        <v>147.71</v>
      </c>
      <c r="G474" s="5" t="str">
        <f t="shared" si="23"/>
        <v>No</v>
      </c>
      <c r="H474" t="str">
        <f>INDEX(Lookup!$C$2:$C$9,MATCH(tblSales[[#This Row],[Category Code]],Lookup!$A$2:$A$9,0))</f>
        <v>Musculo-skeletal system</v>
      </c>
    </row>
    <row r="475" spans="1:8" x14ac:dyDescent="0.25">
      <c r="A475" s="4">
        <v>43465</v>
      </c>
      <c r="B475" s="5">
        <f t="shared" si="21"/>
        <v>2018</v>
      </c>
      <c r="C475" s="5">
        <f t="shared" si="22"/>
        <v>12</v>
      </c>
      <c r="D475" s="5" t="s">
        <v>10</v>
      </c>
      <c r="E475" s="5" t="str">
        <f>VLOOKUP(D475,Lookup!$A$2:$C$9,2,FALSE())</f>
        <v>Anti-inflammatory (propionic acid)</v>
      </c>
      <c r="F475" s="6">
        <v>113.02</v>
      </c>
      <c r="G475" s="5" t="str">
        <f t="shared" si="23"/>
        <v>No</v>
      </c>
      <c r="H475" t="str">
        <f>INDEX(Lookup!$C$2:$C$9,MATCH(tblSales[[#This Row],[Category Code]],Lookup!$A$2:$A$9,0))</f>
        <v>Musculo-skeletal system</v>
      </c>
    </row>
    <row r="476" spans="1:8" x14ac:dyDescent="0.25">
      <c r="A476" s="4">
        <v>43465</v>
      </c>
      <c r="B476" s="5">
        <f t="shared" si="21"/>
        <v>2018</v>
      </c>
      <c r="C476" s="5">
        <f t="shared" si="22"/>
        <v>12</v>
      </c>
      <c r="D476" s="5" t="s">
        <v>11</v>
      </c>
      <c r="E476" s="5" t="str">
        <f>VLOOKUP(D476,Lookup!$A$2:$C$9,2,FALSE())</f>
        <v>Analgesic (salicylic acid)</v>
      </c>
      <c r="F476" s="6">
        <v>84.75</v>
      </c>
      <c r="G476" s="5" t="str">
        <f t="shared" si="23"/>
        <v>No</v>
      </c>
      <c r="H476" t="str">
        <f>INDEX(Lookup!$C$2:$C$9,MATCH(tblSales[[#This Row],[Category Code]],Lookup!$A$2:$A$9,0))</f>
        <v>Nervous system</v>
      </c>
    </row>
    <row r="477" spans="1:8" x14ac:dyDescent="0.25">
      <c r="A477" s="4">
        <v>43465</v>
      </c>
      <c r="B477" s="5">
        <f t="shared" si="21"/>
        <v>2018</v>
      </c>
      <c r="C477" s="5">
        <f t="shared" si="22"/>
        <v>12</v>
      </c>
      <c r="D477" s="5" t="s">
        <v>12</v>
      </c>
      <c r="E477" s="5" t="str">
        <f>VLOOKUP(D477,Lookup!$A$2:$C$9,2,FALSE())</f>
        <v>Analgesic (paracetamol-type)</v>
      </c>
      <c r="F477" s="6">
        <v>1213.95</v>
      </c>
      <c r="G477" s="5" t="str">
        <f t="shared" si="23"/>
        <v>No</v>
      </c>
      <c r="H477" t="str">
        <f>INDEX(Lookup!$C$2:$C$9,MATCH(tblSales[[#This Row],[Category Code]],Lookup!$A$2:$A$9,0))</f>
        <v>Nervous system</v>
      </c>
    </row>
    <row r="478" spans="1:8" x14ac:dyDescent="0.25">
      <c r="A478" s="4">
        <v>43465</v>
      </c>
      <c r="B478" s="5">
        <f t="shared" si="21"/>
        <v>2018</v>
      </c>
      <c r="C478" s="5">
        <f t="shared" si="22"/>
        <v>12</v>
      </c>
      <c r="D478" s="5" t="s">
        <v>13</v>
      </c>
      <c r="E478" s="5" t="str">
        <f>VLOOKUP(D478,Lookup!$A$2:$C$9,2,FALSE())</f>
        <v>Anxiolytics</v>
      </c>
      <c r="F478" s="6">
        <v>254</v>
      </c>
      <c r="G478" s="5" t="str">
        <f t="shared" si="23"/>
        <v>No</v>
      </c>
      <c r="H478" t="str">
        <f>INDEX(Lookup!$C$2:$C$9,MATCH(tblSales[[#This Row],[Category Code]],Lookup!$A$2:$A$9,0))</f>
        <v>Nervous system</v>
      </c>
    </row>
    <row r="479" spans="1:8" x14ac:dyDescent="0.25">
      <c r="A479" s="4">
        <v>43465</v>
      </c>
      <c r="B479" s="5">
        <f t="shared" si="21"/>
        <v>2018</v>
      </c>
      <c r="C479" s="5">
        <f t="shared" si="22"/>
        <v>12</v>
      </c>
      <c r="D479" s="5" t="s">
        <v>14</v>
      </c>
      <c r="E479" s="5" t="str">
        <f>VLOOKUP(D479,Lookup!$A$2:$C$9,2,FALSE())</f>
        <v>Hypnotics &amp; sedatives</v>
      </c>
      <c r="F479" s="6">
        <v>27</v>
      </c>
      <c r="G479" s="5" t="str">
        <f t="shared" si="23"/>
        <v>No</v>
      </c>
      <c r="H479" t="str">
        <f>INDEX(Lookup!$C$2:$C$9,MATCH(tblSales[[#This Row],[Category Code]],Lookup!$A$2:$A$9,0))</f>
        <v>Nervous system</v>
      </c>
    </row>
    <row r="480" spans="1:8" x14ac:dyDescent="0.25">
      <c r="A480" s="4">
        <v>43465</v>
      </c>
      <c r="B480" s="5">
        <f t="shared" si="21"/>
        <v>2018</v>
      </c>
      <c r="C480" s="5">
        <f t="shared" si="22"/>
        <v>12</v>
      </c>
      <c r="D480" s="5" t="s">
        <v>15</v>
      </c>
      <c r="E480" s="5" t="str">
        <f>VLOOKUP(D480,Lookup!$A$2:$C$9,2,FALSE())</f>
        <v>Airway disease drugs</v>
      </c>
      <c r="F480" s="6">
        <v>354</v>
      </c>
      <c r="G480" s="5" t="str">
        <f t="shared" si="23"/>
        <v>No</v>
      </c>
      <c r="H480" t="str">
        <f>INDEX(Lookup!$C$2:$C$9,MATCH(tblSales[[#This Row],[Category Code]],Lookup!$A$2:$A$9,0))</f>
        <v>Respiratory system</v>
      </c>
    </row>
    <row r="481" spans="1:8" x14ac:dyDescent="0.25">
      <c r="A481" s="4">
        <v>43465</v>
      </c>
      <c r="B481" s="5">
        <f t="shared" si="21"/>
        <v>2018</v>
      </c>
      <c r="C481" s="5">
        <f t="shared" si="22"/>
        <v>12</v>
      </c>
      <c r="D481" s="5" t="s">
        <v>16</v>
      </c>
      <c r="E481" s="5" t="str">
        <f>VLOOKUP(D481,Lookup!$A$2:$C$9,2,FALSE())</f>
        <v>Antihistamines</v>
      </c>
      <c r="F481" s="6">
        <v>53.1</v>
      </c>
      <c r="G481" s="5" t="str">
        <f t="shared" si="23"/>
        <v>No</v>
      </c>
      <c r="H481" t="str">
        <f>INDEX(Lookup!$C$2:$C$9,MATCH(tblSales[[#This Row],[Category Code]],Lookup!$A$2:$A$9,0))</f>
        <v>Respiratory system</v>
      </c>
    </row>
    <row r="482" spans="1:8" x14ac:dyDescent="0.25">
      <c r="A482" s="4">
        <v>43496</v>
      </c>
      <c r="B482" s="5">
        <f t="shared" si="21"/>
        <v>2019</v>
      </c>
      <c r="C482" s="5">
        <f t="shared" si="22"/>
        <v>1</v>
      </c>
      <c r="D482" s="5" t="s">
        <v>9</v>
      </c>
      <c r="E482" s="5" t="str">
        <f>VLOOKUP(D482,Lookup!$A$2:$C$9,2,FALSE())</f>
        <v>Anti-inflammatory (acetic acid)</v>
      </c>
      <c r="F482" s="6">
        <v>179.7</v>
      </c>
      <c r="G482" s="5" t="str">
        <f t="shared" si="23"/>
        <v>No</v>
      </c>
      <c r="H482" t="str">
        <f>INDEX(Lookup!$C$2:$C$9,MATCH(tblSales[[#This Row],[Category Code]],Lookup!$A$2:$A$9,0))</f>
        <v>Musculo-skeletal system</v>
      </c>
    </row>
    <row r="483" spans="1:8" x14ac:dyDescent="0.25">
      <c r="A483" s="4">
        <v>43496</v>
      </c>
      <c r="B483" s="5">
        <f t="shared" si="21"/>
        <v>2019</v>
      </c>
      <c r="C483" s="5">
        <f t="shared" si="22"/>
        <v>1</v>
      </c>
      <c r="D483" s="5" t="s">
        <v>10</v>
      </c>
      <c r="E483" s="5" t="str">
        <f>VLOOKUP(D483,Lookup!$A$2:$C$9,2,FALSE())</f>
        <v>Anti-inflammatory (propionic acid)</v>
      </c>
      <c r="F483" s="6">
        <v>189.65</v>
      </c>
      <c r="G483" s="5" t="str">
        <f t="shared" si="23"/>
        <v>No</v>
      </c>
      <c r="H483" t="str">
        <f>INDEX(Lookup!$C$2:$C$9,MATCH(tblSales[[#This Row],[Category Code]],Lookup!$A$2:$A$9,0))</f>
        <v>Musculo-skeletal system</v>
      </c>
    </row>
    <row r="484" spans="1:8" x14ac:dyDescent="0.25">
      <c r="A484" s="4">
        <v>43496</v>
      </c>
      <c r="B484" s="5">
        <f t="shared" si="21"/>
        <v>2019</v>
      </c>
      <c r="C484" s="5">
        <f t="shared" si="22"/>
        <v>1</v>
      </c>
      <c r="D484" s="5" t="s">
        <v>11</v>
      </c>
      <c r="E484" s="5" t="str">
        <f>VLOOKUP(D484,Lookup!$A$2:$C$9,2,FALSE())</f>
        <v>Analgesic (salicylic acid)</v>
      </c>
      <c r="F484" s="6">
        <v>99.7</v>
      </c>
      <c r="G484" s="5" t="str">
        <f t="shared" si="23"/>
        <v>No</v>
      </c>
      <c r="H484" t="str">
        <f>INDEX(Lookup!$C$2:$C$9,MATCH(tblSales[[#This Row],[Category Code]],Lookup!$A$2:$A$9,0))</f>
        <v>Nervous system</v>
      </c>
    </row>
    <row r="485" spans="1:8" x14ac:dyDescent="0.25">
      <c r="A485" s="4">
        <v>43496</v>
      </c>
      <c r="B485" s="5">
        <f t="shared" si="21"/>
        <v>2019</v>
      </c>
      <c r="C485" s="5">
        <f t="shared" si="22"/>
        <v>1</v>
      </c>
      <c r="D485" s="5" t="s">
        <v>12</v>
      </c>
      <c r="E485" s="5" t="str">
        <f>VLOOKUP(D485,Lookup!$A$2:$C$9,2,FALSE())</f>
        <v>Analgesic (paracetamol-type)</v>
      </c>
      <c r="F485" s="6">
        <v>1660.61</v>
      </c>
      <c r="G485" s="5" t="str">
        <f t="shared" si="23"/>
        <v>No</v>
      </c>
      <c r="H485" t="str">
        <f>INDEX(Lookup!$C$2:$C$9,MATCH(tblSales[[#This Row],[Category Code]],Lookup!$A$2:$A$9,0))</f>
        <v>Nervous system</v>
      </c>
    </row>
    <row r="486" spans="1:8" x14ac:dyDescent="0.25">
      <c r="A486" s="4">
        <v>43496</v>
      </c>
      <c r="B486" s="5">
        <f t="shared" si="21"/>
        <v>2019</v>
      </c>
      <c r="C486" s="5">
        <f t="shared" si="22"/>
        <v>1</v>
      </c>
      <c r="D486" s="5" t="s">
        <v>13</v>
      </c>
      <c r="E486" s="5" t="str">
        <f>VLOOKUP(D486,Lookup!$A$2:$C$9,2,FALSE())</f>
        <v>Anxiolytics</v>
      </c>
      <c r="F486" s="6">
        <v>295.2</v>
      </c>
      <c r="G486" s="5" t="str">
        <f t="shared" si="23"/>
        <v>No</v>
      </c>
      <c r="H486" t="str">
        <f>INDEX(Lookup!$C$2:$C$9,MATCH(tblSales[[#This Row],[Category Code]],Lookup!$A$2:$A$9,0))</f>
        <v>Nervous system</v>
      </c>
    </row>
    <row r="487" spans="1:8" x14ac:dyDescent="0.25">
      <c r="A487" s="4">
        <v>43496</v>
      </c>
      <c r="B487" s="5">
        <f t="shared" si="21"/>
        <v>2019</v>
      </c>
      <c r="C487" s="5">
        <f t="shared" si="22"/>
        <v>1</v>
      </c>
      <c r="D487" s="5" t="s">
        <v>14</v>
      </c>
      <c r="E487" s="5" t="str">
        <f>VLOOKUP(D487,Lookup!$A$2:$C$9,2,FALSE())</f>
        <v>Hypnotics &amp; sedatives</v>
      </c>
      <c r="F487" s="6">
        <v>23</v>
      </c>
      <c r="G487" s="5" t="str">
        <f t="shared" si="23"/>
        <v>No</v>
      </c>
      <c r="H487" t="str">
        <f>INDEX(Lookup!$C$2:$C$9,MATCH(tblSales[[#This Row],[Category Code]],Lookup!$A$2:$A$9,0))</f>
        <v>Nervous system</v>
      </c>
    </row>
    <row r="488" spans="1:8" x14ac:dyDescent="0.25">
      <c r="A488" s="4">
        <v>43496</v>
      </c>
      <c r="B488" s="5">
        <f t="shared" si="21"/>
        <v>2019</v>
      </c>
      <c r="C488" s="5">
        <f t="shared" si="22"/>
        <v>1</v>
      </c>
      <c r="D488" s="5" t="s">
        <v>15</v>
      </c>
      <c r="E488" s="5" t="str">
        <f>VLOOKUP(D488,Lookup!$A$2:$C$9,2,FALSE())</f>
        <v>Airway disease drugs</v>
      </c>
      <c r="F488" s="6">
        <v>386</v>
      </c>
      <c r="G488" s="5" t="str">
        <f t="shared" si="23"/>
        <v>No</v>
      </c>
      <c r="H488" t="str">
        <f>INDEX(Lookup!$C$2:$C$9,MATCH(tblSales[[#This Row],[Category Code]],Lookup!$A$2:$A$9,0))</f>
        <v>Respiratory system</v>
      </c>
    </row>
    <row r="489" spans="1:8" x14ac:dyDescent="0.25">
      <c r="A489" s="4">
        <v>43496</v>
      </c>
      <c r="B489" s="5">
        <f t="shared" si="21"/>
        <v>2019</v>
      </c>
      <c r="C489" s="5">
        <f t="shared" si="22"/>
        <v>1</v>
      </c>
      <c r="D489" s="5" t="s">
        <v>16</v>
      </c>
      <c r="E489" s="5" t="str">
        <f>VLOOKUP(D489,Lookup!$A$2:$C$9,2,FALSE())</f>
        <v>Antihistamines</v>
      </c>
      <c r="F489" s="6">
        <v>41.3</v>
      </c>
      <c r="G489" s="5" t="str">
        <f t="shared" si="23"/>
        <v>No</v>
      </c>
      <c r="H489" t="str">
        <f>INDEX(Lookup!$C$2:$C$9,MATCH(tblSales[[#This Row],[Category Code]],Lookup!$A$2:$A$9,0))</f>
        <v>Respiratory system</v>
      </c>
    </row>
    <row r="490" spans="1:8" x14ac:dyDescent="0.25">
      <c r="A490" s="4">
        <v>43524</v>
      </c>
      <c r="B490" s="5">
        <f t="shared" si="21"/>
        <v>2019</v>
      </c>
      <c r="C490" s="5">
        <f t="shared" si="22"/>
        <v>2</v>
      </c>
      <c r="D490" s="5" t="s">
        <v>9</v>
      </c>
      <c r="E490" s="5" t="str">
        <f>VLOOKUP(D490,Lookup!$A$2:$C$9,2,FALSE())</f>
        <v>Anti-inflammatory (acetic acid)</v>
      </c>
      <c r="F490" s="6">
        <v>133.72999999999999</v>
      </c>
      <c r="G490" s="5" t="str">
        <f t="shared" si="23"/>
        <v>No</v>
      </c>
      <c r="H490" t="str">
        <f>INDEX(Lookup!$C$2:$C$9,MATCH(tblSales[[#This Row],[Category Code]],Lookup!$A$2:$A$9,0))</f>
        <v>Musculo-skeletal system</v>
      </c>
    </row>
    <row r="491" spans="1:8" x14ac:dyDescent="0.25">
      <c r="A491" s="4">
        <v>43524</v>
      </c>
      <c r="B491" s="5">
        <f t="shared" si="21"/>
        <v>2019</v>
      </c>
      <c r="C491" s="5">
        <f t="shared" si="22"/>
        <v>2</v>
      </c>
      <c r="D491" s="5" t="s">
        <v>10</v>
      </c>
      <c r="E491" s="5" t="str">
        <f>VLOOKUP(D491,Lookup!$A$2:$C$9,2,FALSE())</f>
        <v>Anti-inflammatory (propionic acid)</v>
      </c>
      <c r="F491" s="6">
        <v>142.16</v>
      </c>
      <c r="G491" s="5" t="str">
        <f t="shared" si="23"/>
        <v>No</v>
      </c>
      <c r="H491" t="str">
        <f>INDEX(Lookup!$C$2:$C$9,MATCH(tblSales[[#This Row],[Category Code]],Lookup!$A$2:$A$9,0))</f>
        <v>Musculo-skeletal system</v>
      </c>
    </row>
    <row r="492" spans="1:8" x14ac:dyDescent="0.25">
      <c r="A492" s="4">
        <v>43524</v>
      </c>
      <c r="B492" s="5">
        <f t="shared" si="21"/>
        <v>2019</v>
      </c>
      <c r="C492" s="5">
        <f t="shared" si="22"/>
        <v>2</v>
      </c>
      <c r="D492" s="5" t="s">
        <v>11</v>
      </c>
      <c r="E492" s="5" t="str">
        <f>VLOOKUP(D492,Lookup!$A$2:$C$9,2,FALSE())</f>
        <v>Analgesic (salicylic acid)</v>
      </c>
      <c r="F492" s="6">
        <v>110.2</v>
      </c>
      <c r="G492" s="5" t="str">
        <f t="shared" si="23"/>
        <v>No</v>
      </c>
      <c r="H492" t="str">
        <f>INDEX(Lookup!$C$2:$C$9,MATCH(tblSales[[#This Row],[Category Code]],Lookup!$A$2:$A$9,0))</f>
        <v>Nervous system</v>
      </c>
    </row>
    <row r="493" spans="1:8" x14ac:dyDescent="0.25">
      <c r="A493" s="4">
        <v>43524</v>
      </c>
      <c r="B493" s="5">
        <f t="shared" si="21"/>
        <v>2019</v>
      </c>
      <c r="C493" s="5">
        <f t="shared" si="22"/>
        <v>2</v>
      </c>
      <c r="D493" s="5" t="s">
        <v>12</v>
      </c>
      <c r="E493" s="5" t="str">
        <f>VLOOKUP(D493,Lookup!$A$2:$C$9,2,FALSE())</f>
        <v>Analgesic (paracetamol-type)</v>
      </c>
      <c r="F493" s="6">
        <v>1001.21</v>
      </c>
      <c r="G493" s="5" t="str">
        <f t="shared" si="23"/>
        <v>No</v>
      </c>
      <c r="H493" t="str">
        <f>INDEX(Lookup!$C$2:$C$9,MATCH(tblSales[[#This Row],[Category Code]],Lookup!$A$2:$A$9,0))</f>
        <v>Nervous system</v>
      </c>
    </row>
    <row r="494" spans="1:8" x14ac:dyDescent="0.25">
      <c r="A494" s="4">
        <v>43524</v>
      </c>
      <c r="B494" s="5">
        <f t="shared" si="21"/>
        <v>2019</v>
      </c>
      <c r="C494" s="5">
        <f t="shared" si="22"/>
        <v>2</v>
      </c>
      <c r="D494" s="5" t="s">
        <v>13</v>
      </c>
      <c r="E494" s="5" t="str">
        <f>VLOOKUP(D494,Lookup!$A$2:$C$9,2,FALSE())</f>
        <v>Anxiolytics</v>
      </c>
      <c r="F494" s="6">
        <v>249.4</v>
      </c>
      <c r="G494" s="5" t="str">
        <f t="shared" si="23"/>
        <v>No</v>
      </c>
      <c r="H494" t="str">
        <f>INDEX(Lookup!$C$2:$C$9,MATCH(tblSales[[#This Row],[Category Code]],Lookup!$A$2:$A$9,0))</f>
        <v>Nervous system</v>
      </c>
    </row>
    <row r="495" spans="1:8" x14ac:dyDescent="0.25">
      <c r="A495" s="4">
        <v>43524</v>
      </c>
      <c r="B495" s="5">
        <f t="shared" si="21"/>
        <v>2019</v>
      </c>
      <c r="C495" s="5">
        <f t="shared" si="22"/>
        <v>2</v>
      </c>
      <c r="D495" s="5" t="s">
        <v>14</v>
      </c>
      <c r="E495" s="5" t="str">
        <f>VLOOKUP(D495,Lookup!$A$2:$C$9,2,FALSE())</f>
        <v>Hypnotics &amp; sedatives</v>
      </c>
      <c r="F495" s="6">
        <v>12</v>
      </c>
      <c r="G495" s="5" t="str">
        <f t="shared" si="23"/>
        <v>No</v>
      </c>
      <c r="H495" t="str">
        <f>INDEX(Lookup!$C$2:$C$9,MATCH(tblSales[[#This Row],[Category Code]],Lookup!$A$2:$A$9,0))</f>
        <v>Nervous system</v>
      </c>
    </row>
    <row r="496" spans="1:8" x14ac:dyDescent="0.25">
      <c r="A496" s="4">
        <v>43524</v>
      </c>
      <c r="B496" s="5">
        <f t="shared" si="21"/>
        <v>2019</v>
      </c>
      <c r="C496" s="5">
        <f t="shared" si="22"/>
        <v>2</v>
      </c>
      <c r="D496" s="5" t="s">
        <v>15</v>
      </c>
      <c r="E496" s="5" t="str">
        <f>VLOOKUP(D496,Lookup!$A$2:$C$9,2,FALSE())</f>
        <v>Airway disease drugs</v>
      </c>
      <c r="F496" s="6">
        <v>226</v>
      </c>
      <c r="G496" s="5" t="str">
        <f t="shared" si="23"/>
        <v>No</v>
      </c>
      <c r="H496" t="str">
        <f>INDEX(Lookup!$C$2:$C$9,MATCH(tblSales[[#This Row],[Category Code]],Lookup!$A$2:$A$9,0))</f>
        <v>Respiratory system</v>
      </c>
    </row>
    <row r="497" spans="1:8" x14ac:dyDescent="0.25">
      <c r="A497" s="4">
        <v>43524</v>
      </c>
      <c r="B497" s="5">
        <f t="shared" si="21"/>
        <v>2019</v>
      </c>
      <c r="C497" s="5">
        <f t="shared" si="22"/>
        <v>2</v>
      </c>
      <c r="D497" s="5" t="s">
        <v>16</v>
      </c>
      <c r="E497" s="5" t="str">
        <f>VLOOKUP(D497,Lookup!$A$2:$C$9,2,FALSE())</f>
        <v>Antihistamines</v>
      </c>
      <c r="F497" s="6">
        <v>69.5</v>
      </c>
      <c r="G497" s="5" t="str">
        <f t="shared" si="23"/>
        <v>No</v>
      </c>
      <c r="H497" t="str">
        <f>INDEX(Lookup!$C$2:$C$9,MATCH(tblSales[[#This Row],[Category Code]],Lookup!$A$2:$A$9,0))</f>
        <v>Respiratory system</v>
      </c>
    </row>
    <row r="498" spans="1:8" x14ac:dyDescent="0.25">
      <c r="A498" s="4">
        <v>43555</v>
      </c>
      <c r="B498" s="5">
        <f t="shared" si="21"/>
        <v>2019</v>
      </c>
      <c r="C498" s="5">
        <f t="shared" si="22"/>
        <v>3</v>
      </c>
      <c r="D498" s="5" t="s">
        <v>9</v>
      </c>
      <c r="E498" s="5" t="str">
        <f>VLOOKUP(D498,Lookup!$A$2:$C$9,2,FALSE())</f>
        <v>Anti-inflammatory (acetic acid)</v>
      </c>
      <c r="F498" s="6">
        <v>154.52000000000001</v>
      </c>
      <c r="G498" s="5" t="str">
        <f t="shared" si="23"/>
        <v>No</v>
      </c>
      <c r="H498" t="str">
        <f>INDEX(Lookup!$C$2:$C$9,MATCH(tblSales[[#This Row],[Category Code]],Lookup!$A$2:$A$9,0))</f>
        <v>Musculo-skeletal system</v>
      </c>
    </row>
    <row r="499" spans="1:8" x14ac:dyDescent="0.25">
      <c r="A499" s="4">
        <v>43555</v>
      </c>
      <c r="B499" s="5">
        <f t="shared" si="21"/>
        <v>2019</v>
      </c>
      <c r="C499" s="5">
        <f t="shared" si="22"/>
        <v>3</v>
      </c>
      <c r="D499" s="5" t="s">
        <v>10</v>
      </c>
      <c r="E499" s="5" t="str">
        <f>VLOOKUP(D499,Lookup!$A$2:$C$9,2,FALSE())</f>
        <v>Anti-inflammatory (propionic acid)</v>
      </c>
      <c r="F499" s="6">
        <v>113.12</v>
      </c>
      <c r="G499" s="5" t="str">
        <f t="shared" si="23"/>
        <v>No</v>
      </c>
      <c r="H499" t="str">
        <f>INDEX(Lookup!$C$2:$C$9,MATCH(tblSales[[#This Row],[Category Code]],Lookup!$A$2:$A$9,0))</f>
        <v>Musculo-skeletal system</v>
      </c>
    </row>
    <row r="500" spans="1:8" x14ac:dyDescent="0.25">
      <c r="A500" s="4">
        <v>43555</v>
      </c>
      <c r="B500" s="5">
        <f t="shared" si="21"/>
        <v>2019</v>
      </c>
      <c r="C500" s="5">
        <f t="shared" si="22"/>
        <v>3</v>
      </c>
      <c r="D500" s="5" t="s">
        <v>11</v>
      </c>
      <c r="E500" s="5" t="str">
        <f>VLOOKUP(D500,Lookup!$A$2:$C$9,2,FALSE())</f>
        <v>Analgesic (salicylic acid)</v>
      </c>
      <c r="F500" s="6">
        <v>83.35</v>
      </c>
      <c r="G500" s="5" t="str">
        <f t="shared" si="23"/>
        <v>No</v>
      </c>
      <c r="H500" t="str">
        <f>INDEX(Lookup!$C$2:$C$9,MATCH(tblSales[[#This Row],[Category Code]],Lookup!$A$2:$A$9,0))</f>
        <v>Nervous system</v>
      </c>
    </row>
    <row r="501" spans="1:8" x14ac:dyDescent="0.25">
      <c r="A501" s="4">
        <v>43555</v>
      </c>
      <c r="B501" s="5">
        <f t="shared" si="21"/>
        <v>2019</v>
      </c>
      <c r="C501" s="5">
        <f t="shared" si="22"/>
        <v>3</v>
      </c>
      <c r="D501" s="5" t="s">
        <v>12</v>
      </c>
      <c r="E501" s="5" t="str">
        <f>VLOOKUP(D501,Lookup!$A$2:$C$9,2,FALSE())</f>
        <v>Analgesic (paracetamol-type)</v>
      </c>
      <c r="F501" s="6">
        <v>941.05</v>
      </c>
      <c r="G501" s="5" t="str">
        <f t="shared" si="23"/>
        <v>No</v>
      </c>
      <c r="H501" t="str">
        <f>INDEX(Lookup!$C$2:$C$9,MATCH(tblSales[[#This Row],[Category Code]],Lookup!$A$2:$A$9,0))</f>
        <v>Nervous system</v>
      </c>
    </row>
    <row r="502" spans="1:8" x14ac:dyDescent="0.25">
      <c r="A502" s="4">
        <v>43555</v>
      </c>
      <c r="B502" s="5">
        <f t="shared" si="21"/>
        <v>2019</v>
      </c>
      <c r="C502" s="5">
        <f t="shared" si="22"/>
        <v>3</v>
      </c>
      <c r="D502" s="5" t="s">
        <v>13</v>
      </c>
      <c r="E502" s="5" t="str">
        <f>VLOOKUP(D502,Lookup!$A$2:$C$9,2,FALSE())</f>
        <v>Anxiolytics</v>
      </c>
      <c r="F502" s="6">
        <v>301.39999999999998</v>
      </c>
      <c r="G502" s="5" t="str">
        <f t="shared" si="23"/>
        <v>No</v>
      </c>
      <c r="H502" t="str">
        <f>INDEX(Lookup!$C$2:$C$9,MATCH(tblSales[[#This Row],[Category Code]],Lookup!$A$2:$A$9,0))</f>
        <v>Nervous system</v>
      </c>
    </row>
    <row r="503" spans="1:8" x14ac:dyDescent="0.25">
      <c r="A503" s="4">
        <v>43555</v>
      </c>
      <c r="B503" s="5">
        <f t="shared" si="21"/>
        <v>2019</v>
      </c>
      <c r="C503" s="5">
        <f t="shared" si="22"/>
        <v>3</v>
      </c>
      <c r="D503" s="5" t="s">
        <v>14</v>
      </c>
      <c r="E503" s="5" t="str">
        <f>VLOOKUP(D503,Lookup!$A$2:$C$9,2,FALSE())</f>
        <v>Hypnotics &amp; sedatives</v>
      </c>
      <c r="F503" s="6">
        <v>19</v>
      </c>
      <c r="G503" s="5" t="str">
        <f t="shared" si="23"/>
        <v>No</v>
      </c>
      <c r="H503" t="str">
        <f>INDEX(Lookup!$C$2:$C$9,MATCH(tblSales[[#This Row],[Category Code]],Lookup!$A$2:$A$9,0))</f>
        <v>Nervous system</v>
      </c>
    </row>
    <row r="504" spans="1:8" x14ac:dyDescent="0.25">
      <c r="A504" s="4">
        <v>43555</v>
      </c>
      <c r="B504" s="5">
        <f t="shared" si="21"/>
        <v>2019</v>
      </c>
      <c r="C504" s="5">
        <f t="shared" si="22"/>
        <v>3</v>
      </c>
      <c r="D504" s="5" t="s">
        <v>15</v>
      </c>
      <c r="E504" s="5" t="str">
        <f>VLOOKUP(D504,Lookup!$A$2:$C$9,2,FALSE())</f>
        <v>Airway disease drugs</v>
      </c>
      <c r="F504" s="6">
        <v>257</v>
      </c>
      <c r="G504" s="5" t="str">
        <f t="shared" si="23"/>
        <v>No</v>
      </c>
      <c r="H504" t="str">
        <f>INDEX(Lookup!$C$2:$C$9,MATCH(tblSales[[#This Row],[Category Code]],Lookup!$A$2:$A$9,0))</f>
        <v>Respiratory system</v>
      </c>
    </row>
    <row r="505" spans="1:8" x14ac:dyDescent="0.25">
      <c r="A505" s="4">
        <v>43555</v>
      </c>
      <c r="B505" s="5">
        <f t="shared" si="21"/>
        <v>2019</v>
      </c>
      <c r="C505" s="5">
        <f t="shared" si="22"/>
        <v>3</v>
      </c>
      <c r="D505" s="5" t="s">
        <v>16</v>
      </c>
      <c r="E505" s="5" t="str">
        <f>VLOOKUP(D505,Lookup!$A$2:$C$9,2,FALSE())</f>
        <v>Antihistamines</v>
      </c>
      <c r="F505" s="6">
        <v>169.5</v>
      </c>
      <c r="G505" s="5" t="str">
        <f t="shared" si="23"/>
        <v>No</v>
      </c>
      <c r="H505" t="str">
        <f>INDEX(Lookup!$C$2:$C$9,MATCH(tblSales[[#This Row],[Category Code]],Lookup!$A$2:$A$9,0))</f>
        <v>Respiratory system</v>
      </c>
    </row>
    <row r="506" spans="1:8" x14ac:dyDescent="0.25">
      <c r="A506" s="4">
        <v>43585</v>
      </c>
      <c r="B506" s="5">
        <f t="shared" si="21"/>
        <v>2019</v>
      </c>
      <c r="C506" s="5">
        <f t="shared" si="22"/>
        <v>4</v>
      </c>
      <c r="D506" s="5" t="s">
        <v>9</v>
      </c>
      <c r="E506" s="5" t="str">
        <f>VLOOKUP(D506,Lookup!$A$2:$C$9,2,FALSE())</f>
        <v>Anti-inflammatory (acetic acid)</v>
      </c>
      <c r="F506" s="6">
        <v>161.38999999999999</v>
      </c>
      <c r="G506" s="5" t="str">
        <f t="shared" si="23"/>
        <v>No</v>
      </c>
      <c r="H506" t="str">
        <f>INDEX(Lookup!$C$2:$C$9,MATCH(tblSales[[#This Row],[Category Code]],Lookup!$A$2:$A$9,0))</f>
        <v>Musculo-skeletal system</v>
      </c>
    </row>
    <row r="507" spans="1:8" x14ac:dyDescent="0.25">
      <c r="A507" s="4">
        <v>43585</v>
      </c>
      <c r="B507" s="5">
        <f t="shared" si="21"/>
        <v>2019</v>
      </c>
      <c r="C507" s="5">
        <f t="shared" si="22"/>
        <v>4</v>
      </c>
      <c r="D507" s="5" t="s">
        <v>10</v>
      </c>
      <c r="E507" s="5" t="str">
        <f>VLOOKUP(D507,Lookup!$A$2:$C$9,2,FALSE())</f>
        <v>Anti-inflammatory (propionic acid)</v>
      </c>
      <c r="F507" s="6">
        <v>100.17</v>
      </c>
      <c r="G507" s="5" t="str">
        <f t="shared" si="23"/>
        <v>No</v>
      </c>
      <c r="H507" t="str">
        <f>INDEX(Lookup!$C$2:$C$9,MATCH(tblSales[[#This Row],[Category Code]],Lookup!$A$2:$A$9,0))</f>
        <v>Musculo-skeletal system</v>
      </c>
    </row>
    <row r="508" spans="1:8" x14ac:dyDescent="0.25">
      <c r="A508" s="4">
        <v>43585</v>
      </c>
      <c r="B508" s="5">
        <f t="shared" si="21"/>
        <v>2019</v>
      </c>
      <c r="C508" s="5">
        <f t="shared" si="22"/>
        <v>4</v>
      </c>
      <c r="D508" s="5" t="s">
        <v>11</v>
      </c>
      <c r="E508" s="5" t="str">
        <f>VLOOKUP(D508,Lookup!$A$2:$C$9,2,FALSE())</f>
        <v>Analgesic (salicylic acid)</v>
      </c>
      <c r="F508" s="6">
        <v>88.1</v>
      </c>
      <c r="G508" s="5" t="str">
        <f t="shared" si="23"/>
        <v>No</v>
      </c>
      <c r="H508" t="str">
        <f>INDEX(Lookup!$C$2:$C$9,MATCH(tblSales[[#This Row],[Category Code]],Lookup!$A$2:$A$9,0))</f>
        <v>Nervous system</v>
      </c>
    </row>
    <row r="509" spans="1:8" x14ac:dyDescent="0.25">
      <c r="A509" s="4">
        <v>43585</v>
      </c>
      <c r="B509" s="5">
        <f t="shared" si="21"/>
        <v>2019</v>
      </c>
      <c r="C509" s="5">
        <f t="shared" si="22"/>
        <v>4</v>
      </c>
      <c r="D509" s="5" t="s">
        <v>12</v>
      </c>
      <c r="E509" s="5" t="str">
        <f>VLOOKUP(D509,Lookup!$A$2:$C$9,2,FALSE())</f>
        <v>Analgesic (paracetamol-type)</v>
      </c>
      <c r="F509" s="6">
        <v>647.65</v>
      </c>
      <c r="G509" s="5" t="str">
        <f t="shared" si="23"/>
        <v>No</v>
      </c>
      <c r="H509" t="str">
        <f>INDEX(Lookup!$C$2:$C$9,MATCH(tblSales[[#This Row],[Category Code]],Lookup!$A$2:$A$9,0))</f>
        <v>Nervous system</v>
      </c>
    </row>
    <row r="510" spans="1:8" x14ac:dyDescent="0.25">
      <c r="A510" s="4">
        <v>43585</v>
      </c>
      <c r="B510" s="5">
        <f t="shared" si="21"/>
        <v>2019</v>
      </c>
      <c r="C510" s="5">
        <f t="shared" si="22"/>
        <v>4</v>
      </c>
      <c r="D510" s="5" t="s">
        <v>13</v>
      </c>
      <c r="E510" s="5" t="str">
        <f>VLOOKUP(D510,Lookup!$A$2:$C$9,2,FALSE())</f>
        <v>Anxiolytics</v>
      </c>
      <c r="F510" s="6">
        <v>299.39999999999998</v>
      </c>
      <c r="G510" s="5" t="str">
        <f t="shared" si="23"/>
        <v>No</v>
      </c>
      <c r="H510" t="str">
        <f>INDEX(Lookup!$C$2:$C$9,MATCH(tblSales[[#This Row],[Category Code]],Lookup!$A$2:$A$9,0))</f>
        <v>Nervous system</v>
      </c>
    </row>
    <row r="511" spans="1:8" x14ac:dyDescent="0.25">
      <c r="A511" s="4">
        <v>43585</v>
      </c>
      <c r="B511" s="5">
        <f t="shared" si="21"/>
        <v>2019</v>
      </c>
      <c r="C511" s="5">
        <f t="shared" si="22"/>
        <v>4</v>
      </c>
      <c r="D511" s="5" t="s">
        <v>14</v>
      </c>
      <c r="E511" s="5" t="str">
        <f>VLOOKUP(D511,Lookup!$A$2:$C$9,2,FALSE())</f>
        <v>Hypnotics &amp; sedatives</v>
      </c>
      <c r="F511" s="6">
        <v>22</v>
      </c>
      <c r="G511" s="5" t="str">
        <f t="shared" si="23"/>
        <v>No</v>
      </c>
      <c r="H511" t="str">
        <f>INDEX(Lookup!$C$2:$C$9,MATCH(tblSales[[#This Row],[Category Code]],Lookup!$A$2:$A$9,0))</f>
        <v>Nervous system</v>
      </c>
    </row>
    <row r="512" spans="1:8" x14ac:dyDescent="0.25">
      <c r="A512" s="4">
        <v>43585</v>
      </c>
      <c r="B512" s="5">
        <f t="shared" si="21"/>
        <v>2019</v>
      </c>
      <c r="C512" s="5">
        <f t="shared" si="22"/>
        <v>4</v>
      </c>
      <c r="D512" s="5" t="s">
        <v>15</v>
      </c>
      <c r="E512" s="5" t="str">
        <f>VLOOKUP(D512,Lookup!$A$2:$C$9,2,FALSE())</f>
        <v>Airway disease drugs</v>
      </c>
      <c r="F512" s="6">
        <v>219</v>
      </c>
      <c r="G512" s="5" t="str">
        <f t="shared" si="23"/>
        <v>No</v>
      </c>
      <c r="H512" t="str">
        <f>INDEX(Lookup!$C$2:$C$9,MATCH(tblSales[[#This Row],[Category Code]],Lookup!$A$2:$A$9,0))</f>
        <v>Respiratory system</v>
      </c>
    </row>
    <row r="513" spans="1:8" x14ac:dyDescent="0.25">
      <c r="A513" s="4">
        <v>43585</v>
      </c>
      <c r="B513" s="5">
        <f t="shared" si="21"/>
        <v>2019</v>
      </c>
      <c r="C513" s="5">
        <f t="shared" si="22"/>
        <v>4</v>
      </c>
      <c r="D513" s="5" t="s">
        <v>16</v>
      </c>
      <c r="E513" s="5" t="str">
        <f>VLOOKUP(D513,Lookup!$A$2:$C$9,2,FALSE())</f>
        <v>Antihistamines</v>
      </c>
      <c r="F513" s="6">
        <v>179.1</v>
      </c>
      <c r="G513" s="5" t="str">
        <f t="shared" si="23"/>
        <v>No</v>
      </c>
      <c r="H513" t="str">
        <f>INDEX(Lookup!$C$2:$C$9,MATCH(tblSales[[#This Row],[Category Code]],Lookup!$A$2:$A$9,0))</f>
        <v>Respiratory system</v>
      </c>
    </row>
    <row r="514" spans="1:8" x14ac:dyDescent="0.25">
      <c r="A514" s="4">
        <v>43616</v>
      </c>
      <c r="B514" s="5">
        <f t="shared" ref="B514:B577" si="24">YEAR(A514)</f>
        <v>2019</v>
      </c>
      <c r="C514" s="5">
        <f t="shared" ref="C514:C561" si="25">MONTH(A514)</f>
        <v>5</v>
      </c>
      <c r="D514" s="5" t="s">
        <v>9</v>
      </c>
      <c r="E514" s="5" t="str">
        <f>VLOOKUP(D514,Lookup!$A$2:$C$9,2,FALSE())</f>
        <v>Anti-inflammatory (acetic acid)</v>
      </c>
      <c r="F514" s="6">
        <v>168.04</v>
      </c>
      <c r="G514" s="5" t="str">
        <f t="shared" ref="G514:G561" si="26">IF(A514=DATE(2019,10,31),"Yes","No")</f>
        <v>No</v>
      </c>
      <c r="H514" t="str">
        <f>INDEX(Lookup!$C$2:$C$9,MATCH(tblSales[[#This Row],[Category Code]],Lookup!$A$2:$A$9,0))</f>
        <v>Musculo-skeletal system</v>
      </c>
    </row>
    <row r="515" spans="1:8" x14ac:dyDescent="0.25">
      <c r="A515" s="4">
        <v>43616</v>
      </c>
      <c r="B515" s="5">
        <f t="shared" si="24"/>
        <v>2019</v>
      </c>
      <c r="C515" s="5">
        <f t="shared" si="25"/>
        <v>5</v>
      </c>
      <c r="D515" s="5" t="s">
        <v>10</v>
      </c>
      <c r="E515" s="5" t="str">
        <f>VLOOKUP(D515,Lookup!$A$2:$C$9,2,FALSE())</f>
        <v>Anti-inflammatory (propionic acid)</v>
      </c>
      <c r="F515" s="6">
        <v>97.26</v>
      </c>
      <c r="G515" s="5" t="str">
        <f t="shared" si="26"/>
        <v>No</v>
      </c>
      <c r="H515" t="str">
        <f>INDEX(Lookup!$C$2:$C$9,MATCH(tblSales[[#This Row],[Category Code]],Lookup!$A$2:$A$9,0))</f>
        <v>Musculo-skeletal system</v>
      </c>
    </row>
    <row r="516" spans="1:8" x14ac:dyDescent="0.25">
      <c r="A516" s="4">
        <v>43616</v>
      </c>
      <c r="B516" s="5">
        <f t="shared" si="24"/>
        <v>2019</v>
      </c>
      <c r="C516" s="5">
        <f t="shared" si="25"/>
        <v>5</v>
      </c>
      <c r="D516" s="5" t="s">
        <v>11</v>
      </c>
      <c r="E516" s="5" t="str">
        <f>VLOOKUP(D516,Lookup!$A$2:$C$9,2,FALSE())</f>
        <v>Analgesic (salicylic acid)</v>
      </c>
      <c r="F516" s="6">
        <v>104.1</v>
      </c>
      <c r="G516" s="5" t="str">
        <f t="shared" si="26"/>
        <v>No</v>
      </c>
      <c r="H516" t="str">
        <f>INDEX(Lookup!$C$2:$C$9,MATCH(tblSales[[#This Row],[Category Code]],Lookup!$A$2:$A$9,0))</f>
        <v>Nervous system</v>
      </c>
    </row>
    <row r="517" spans="1:8" x14ac:dyDescent="0.25">
      <c r="A517" s="4">
        <v>43616</v>
      </c>
      <c r="B517" s="5">
        <f t="shared" si="24"/>
        <v>2019</v>
      </c>
      <c r="C517" s="5">
        <f t="shared" si="25"/>
        <v>5</v>
      </c>
      <c r="D517" s="5" t="s">
        <v>12</v>
      </c>
      <c r="E517" s="5" t="str">
        <f>VLOOKUP(D517,Lookup!$A$2:$C$9,2,FALSE())</f>
        <v>Analgesic (paracetamol-type)</v>
      </c>
      <c r="F517" s="6">
        <v>703.56</v>
      </c>
      <c r="G517" s="5" t="str">
        <f t="shared" si="26"/>
        <v>No</v>
      </c>
      <c r="H517" t="str">
        <f>INDEX(Lookup!$C$2:$C$9,MATCH(tblSales[[#This Row],[Category Code]],Lookup!$A$2:$A$9,0))</f>
        <v>Nervous system</v>
      </c>
    </row>
    <row r="518" spans="1:8" x14ac:dyDescent="0.25">
      <c r="A518" s="4">
        <v>43616</v>
      </c>
      <c r="B518" s="5">
        <f t="shared" si="24"/>
        <v>2019</v>
      </c>
      <c r="C518" s="5">
        <f t="shared" si="25"/>
        <v>5</v>
      </c>
      <c r="D518" s="5" t="s">
        <v>13</v>
      </c>
      <c r="E518" s="5" t="str">
        <f>VLOOKUP(D518,Lookup!$A$2:$C$9,2,FALSE())</f>
        <v>Anxiolytics</v>
      </c>
      <c r="F518" s="6">
        <v>265.8</v>
      </c>
      <c r="G518" s="5" t="str">
        <f t="shared" si="26"/>
        <v>No</v>
      </c>
      <c r="H518" t="str">
        <f>INDEX(Lookup!$C$2:$C$9,MATCH(tblSales[[#This Row],[Category Code]],Lookup!$A$2:$A$9,0))</f>
        <v>Nervous system</v>
      </c>
    </row>
    <row r="519" spans="1:8" x14ac:dyDescent="0.25">
      <c r="A519" s="4">
        <v>43616</v>
      </c>
      <c r="B519" s="5">
        <f t="shared" si="24"/>
        <v>2019</v>
      </c>
      <c r="C519" s="5">
        <f t="shared" si="25"/>
        <v>5</v>
      </c>
      <c r="D519" s="5" t="s">
        <v>14</v>
      </c>
      <c r="E519" s="5" t="str">
        <f>VLOOKUP(D519,Lookup!$A$2:$C$9,2,FALSE())</f>
        <v>Hypnotics &amp; sedatives</v>
      </c>
      <c r="F519" s="6">
        <v>26</v>
      </c>
      <c r="G519" s="5" t="str">
        <f t="shared" si="26"/>
        <v>No</v>
      </c>
      <c r="H519" t="str">
        <f>INDEX(Lookup!$C$2:$C$9,MATCH(tblSales[[#This Row],[Category Code]],Lookup!$A$2:$A$9,0))</f>
        <v>Nervous system</v>
      </c>
    </row>
    <row r="520" spans="1:8" x14ac:dyDescent="0.25">
      <c r="A520" s="4">
        <v>43616</v>
      </c>
      <c r="B520" s="5">
        <f t="shared" si="24"/>
        <v>2019</v>
      </c>
      <c r="C520" s="5">
        <f t="shared" si="25"/>
        <v>5</v>
      </c>
      <c r="D520" s="5" t="s">
        <v>15</v>
      </c>
      <c r="E520" s="5" t="str">
        <f>VLOOKUP(D520,Lookup!$A$2:$C$9,2,FALSE())</f>
        <v>Airway disease drugs</v>
      </c>
      <c r="F520" s="6">
        <v>298.29000000000002</v>
      </c>
      <c r="G520" s="5" t="str">
        <f t="shared" si="26"/>
        <v>No</v>
      </c>
      <c r="H520" t="str">
        <f>INDEX(Lookup!$C$2:$C$9,MATCH(tblSales[[#This Row],[Category Code]],Lookup!$A$2:$A$9,0))</f>
        <v>Respiratory system</v>
      </c>
    </row>
    <row r="521" spans="1:8" x14ac:dyDescent="0.25">
      <c r="A521" s="4">
        <v>43616</v>
      </c>
      <c r="B521" s="5">
        <f t="shared" si="24"/>
        <v>2019</v>
      </c>
      <c r="C521" s="5">
        <f t="shared" si="25"/>
        <v>5</v>
      </c>
      <c r="D521" s="5" t="s">
        <v>16</v>
      </c>
      <c r="E521" s="5" t="str">
        <f>VLOOKUP(D521,Lookup!$A$2:$C$9,2,FALSE())</f>
        <v>Antihistamines</v>
      </c>
      <c r="F521" s="6">
        <v>135.4</v>
      </c>
      <c r="G521" s="5" t="str">
        <f t="shared" si="26"/>
        <v>No</v>
      </c>
      <c r="H521" t="str">
        <f>INDEX(Lookup!$C$2:$C$9,MATCH(tblSales[[#This Row],[Category Code]],Lookup!$A$2:$A$9,0))</f>
        <v>Respiratory system</v>
      </c>
    </row>
    <row r="522" spans="1:8" x14ac:dyDescent="0.25">
      <c r="A522" s="4">
        <v>43646</v>
      </c>
      <c r="B522" s="5">
        <f t="shared" si="24"/>
        <v>2019</v>
      </c>
      <c r="C522" s="5">
        <f t="shared" si="25"/>
        <v>6</v>
      </c>
      <c r="D522" s="5" t="s">
        <v>9</v>
      </c>
      <c r="E522" s="5" t="str">
        <f>VLOOKUP(D522,Lookup!$A$2:$C$9,2,FALSE())</f>
        <v>Anti-inflammatory (acetic acid)</v>
      </c>
      <c r="F522" s="6">
        <v>151.54</v>
      </c>
      <c r="G522" s="5" t="str">
        <f t="shared" si="26"/>
        <v>No</v>
      </c>
      <c r="H522" t="str">
        <f>INDEX(Lookup!$C$2:$C$9,MATCH(tblSales[[#This Row],[Category Code]],Lookup!$A$2:$A$9,0))</f>
        <v>Musculo-skeletal system</v>
      </c>
    </row>
    <row r="523" spans="1:8" x14ac:dyDescent="0.25">
      <c r="A523" s="4">
        <v>43646</v>
      </c>
      <c r="B523" s="5">
        <f t="shared" si="24"/>
        <v>2019</v>
      </c>
      <c r="C523" s="5">
        <f t="shared" si="25"/>
        <v>6</v>
      </c>
      <c r="D523" s="5" t="s">
        <v>10</v>
      </c>
      <c r="E523" s="5" t="str">
        <f>VLOOKUP(D523,Lookup!$A$2:$C$9,2,FALSE())</f>
        <v>Anti-inflammatory (propionic acid)</v>
      </c>
      <c r="F523" s="6">
        <v>101.63</v>
      </c>
      <c r="G523" s="5" t="str">
        <f t="shared" si="26"/>
        <v>No</v>
      </c>
      <c r="H523" t="str">
        <f>INDEX(Lookup!$C$2:$C$9,MATCH(tblSales[[#This Row],[Category Code]],Lookup!$A$2:$A$9,0))</f>
        <v>Musculo-skeletal system</v>
      </c>
    </row>
    <row r="524" spans="1:8" x14ac:dyDescent="0.25">
      <c r="A524" s="4">
        <v>43646</v>
      </c>
      <c r="B524" s="5">
        <f t="shared" si="24"/>
        <v>2019</v>
      </c>
      <c r="C524" s="5">
        <f t="shared" si="25"/>
        <v>6</v>
      </c>
      <c r="D524" s="5" t="s">
        <v>11</v>
      </c>
      <c r="E524" s="5" t="str">
        <f>VLOOKUP(D524,Lookup!$A$2:$C$9,2,FALSE())</f>
        <v>Analgesic (salicylic acid)</v>
      </c>
      <c r="F524" s="6">
        <v>103.2</v>
      </c>
      <c r="G524" s="5" t="str">
        <f t="shared" si="26"/>
        <v>No</v>
      </c>
      <c r="H524" t="str">
        <f>INDEX(Lookup!$C$2:$C$9,MATCH(tblSales[[#This Row],[Category Code]],Lookup!$A$2:$A$9,0))</f>
        <v>Nervous system</v>
      </c>
    </row>
    <row r="525" spans="1:8" x14ac:dyDescent="0.25">
      <c r="A525" s="4">
        <v>43646</v>
      </c>
      <c r="B525" s="5">
        <f t="shared" si="24"/>
        <v>2019</v>
      </c>
      <c r="C525" s="5">
        <f t="shared" si="25"/>
        <v>6</v>
      </c>
      <c r="D525" s="5" t="s">
        <v>12</v>
      </c>
      <c r="E525" s="5" t="str">
        <f>VLOOKUP(D525,Lookup!$A$2:$C$9,2,FALSE())</f>
        <v>Analgesic (paracetamol-type)</v>
      </c>
      <c r="F525" s="6">
        <v>610</v>
      </c>
      <c r="G525" s="5" t="str">
        <f t="shared" si="26"/>
        <v>No</v>
      </c>
      <c r="H525" t="str">
        <f>INDEX(Lookup!$C$2:$C$9,MATCH(tblSales[[#This Row],[Category Code]],Lookup!$A$2:$A$9,0))</f>
        <v>Nervous system</v>
      </c>
    </row>
    <row r="526" spans="1:8" x14ac:dyDescent="0.25">
      <c r="A526" s="4">
        <v>43646</v>
      </c>
      <c r="B526" s="5">
        <f t="shared" si="24"/>
        <v>2019</v>
      </c>
      <c r="C526" s="5">
        <f t="shared" si="25"/>
        <v>6</v>
      </c>
      <c r="D526" s="5" t="s">
        <v>13</v>
      </c>
      <c r="E526" s="5" t="str">
        <f>VLOOKUP(D526,Lookup!$A$2:$C$9,2,FALSE())</f>
        <v>Anxiolytics</v>
      </c>
      <c r="F526" s="6">
        <v>193</v>
      </c>
      <c r="G526" s="5" t="str">
        <f t="shared" si="26"/>
        <v>No</v>
      </c>
      <c r="H526" t="str">
        <f>INDEX(Lookup!$C$2:$C$9,MATCH(tblSales[[#This Row],[Category Code]],Lookup!$A$2:$A$9,0))</f>
        <v>Nervous system</v>
      </c>
    </row>
    <row r="527" spans="1:8" x14ac:dyDescent="0.25">
      <c r="A527" s="4">
        <v>43646</v>
      </c>
      <c r="B527" s="5">
        <f t="shared" si="24"/>
        <v>2019</v>
      </c>
      <c r="C527" s="5">
        <f t="shared" si="25"/>
        <v>6</v>
      </c>
      <c r="D527" s="5" t="s">
        <v>14</v>
      </c>
      <c r="E527" s="5" t="str">
        <f>VLOOKUP(D527,Lookup!$A$2:$C$9,2,FALSE())</f>
        <v>Hypnotics &amp; sedatives</v>
      </c>
      <c r="F527" s="6">
        <v>25</v>
      </c>
      <c r="G527" s="5" t="str">
        <f t="shared" si="26"/>
        <v>No</v>
      </c>
      <c r="H527" t="str">
        <f>INDEX(Lookup!$C$2:$C$9,MATCH(tblSales[[#This Row],[Category Code]],Lookup!$A$2:$A$9,0))</f>
        <v>Nervous system</v>
      </c>
    </row>
    <row r="528" spans="1:8" x14ac:dyDescent="0.25">
      <c r="A528" s="4">
        <v>43646</v>
      </c>
      <c r="B528" s="5">
        <f t="shared" si="24"/>
        <v>2019</v>
      </c>
      <c r="C528" s="5">
        <f t="shared" si="25"/>
        <v>6</v>
      </c>
      <c r="D528" s="5" t="s">
        <v>15</v>
      </c>
      <c r="E528" s="5" t="str">
        <f>VLOOKUP(D528,Lookup!$A$2:$C$9,2,FALSE())</f>
        <v>Airway disease drugs</v>
      </c>
      <c r="F528" s="6">
        <v>142</v>
      </c>
      <c r="G528" s="5" t="str">
        <f t="shared" si="26"/>
        <v>No</v>
      </c>
      <c r="H528" t="str">
        <f>INDEX(Lookup!$C$2:$C$9,MATCH(tblSales[[#This Row],[Category Code]],Lookup!$A$2:$A$9,0))</f>
        <v>Respiratory system</v>
      </c>
    </row>
    <row r="529" spans="1:8" x14ac:dyDescent="0.25">
      <c r="A529" s="4">
        <v>43646</v>
      </c>
      <c r="B529" s="5">
        <f t="shared" si="24"/>
        <v>2019</v>
      </c>
      <c r="C529" s="5">
        <f t="shared" si="25"/>
        <v>6</v>
      </c>
      <c r="D529" s="5" t="s">
        <v>16</v>
      </c>
      <c r="E529" s="5" t="str">
        <f>VLOOKUP(D529,Lookup!$A$2:$C$9,2,FALSE())</f>
        <v>Antihistamines</v>
      </c>
      <c r="F529" s="6">
        <v>156.04</v>
      </c>
      <c r="G529" s="5" t="str">
        <f t="shared" si="26"/>
        <v>No</v>
      </c>
      <c r="H529" t="str">
        <f>INDEX(Lookup!$C$2:$C$9,MATCH(tblSales[[#This Row],[Category Code]],Lookup!$A$2:$A$9,0))</f>
        <v>Respiratory system</v>
      </c>
    </row>
    <row r="530" spans="1:8" x14ac:dyDescent="0.25">
      <c r="A530" s="4">
        <v>43677</v>
      </c>
      <c r="B530" s="5">
        <f t="shared" si="24"/>
        <v>2019</v>
      </c>
      <c r="C530" s="5">
        <f t="shared" si="25"/>
        <v>7</v>
      </c>
      <c r="D530" s="5" t="s">
        <v>9</v>
      </c>
      <c r="E530" s="5" t="str">
        <f>VLOOKUP(D530,Lookup!$A$2:$C$9,2,FALSE())</f>
        <v>Anti-inflammatory (acetic acid)</v>
      </c>
      <c r="F530" s="6">
        <v>181</v>
      </c>
      <c r="G530" s="5" t="str">
        <f t="shared" si="26"/>
        <v>No</v>
      </c>
      <c r="H530" t="str">
        <f>INDEX(Lookup!$C$2:$C$9,MATCH(tblSales[[#This Row],[Category Code]],Lookup!$A$2:$A$9,0))</f>
        <v>Musculo-skeletal system</v>
      </c>
    </row>
    <row r="531" spans="1:8" x14ac:dyDescent="0.25">
      <c r="A531" s="4">
        <v>43677</v>
      </c>
      <c r="B531" s="5">
        <f t="shared" si="24"/>
        <v>2019</v>
      </c>
      <c r="C531" s="5">
        <f t="shared" si="25"/>
        <v>7</v>
      </c>
      <c r="D531" s="5" t="s">
        <v>10</v>
      </c>
      <c r="E531" s="5" t="str">
        <f>VLOOKUP(D531,Lookup!$A$2:$C$9,2,FALSE())</f>
        <v>Anti-inflammatory (propionic acid)</v>
      </c>
      <c r="F531" s="6">
        <v>103.54</v>
      </c>
      <c r="G531" s="5" t="str">
        <f t="shared" si="26"/>
        <v>No</v>
      </c>
      <c r="H531" t="str">
        <f>INDEX(Lookup!$C$2:$C$9,MATCH(tblSales[[#This Row],[Category Code]],Lookup!$A$2:$A$9,0))</f>
        <v>Musculo-skeletal system</v>
      </c>
    </row>
    <row r="532" spans="1:8" x14ac:dyDescent="0.25">
      <c r="A532" s="4">
        <v>43677</v>
      </c>
      <c r="B532" s="5">
        <f t="shared" si="24"/>
        <v>2019</v>
      </c>
      <c r="C532" s="5">
        <f t="shared" si="25"/>
        <v>7</v>
      </c>
      <c r="D532" s="5" t="s">
        <v>11</v>
      </c>
      <c r="E532" s="5" t="str">
        <f>VLOOKUP(D532,Lookup!$A$2:$C$9,2,FALSE())</f>
        <v>Analgesic (salicylic acid)</v>
      </c>
      <c r="F532" s="6">
        <v>92.8</v>
      </c>
      <c r="G532" s="5" t="str">
        <f t="shared" si="26"/>
        <v>No</v>
      </c>
      <c r="H532" t="str">
        <f>INDEX(Lookup!$C$2:$C$9,MATCH(tblSales[[#This Row],[Category Code]],Lookup!$A$2:$A$9,0))</f>
        <v>Nervous system</v>
      </c>
    </row>
    <row r="533" spans="1:8" x14ac:dyDescent="0.25">
      <c r="A533" s="4">
        <v>43677</v>
      </c>
      <c r="B533" s="5">
        <f t="shared" si="24"/>
        <v>2019</v>
      </c>
      <c r="C533" s="5">
        <f t="shared" si="25"/>
        <v>7</v>
      </c>
      <c r="D533" s="5" t="s">
        <v>12</v>
      </c>
      <c r="E533" s="5" t="str">
        <f>VLOOKUP(D533,Lookup!$A$2:$C$9,2,FALSE())</f>
        <v>Analgesic (paracetamol-type)</v>
      </c>
      <c r="F533" s="6">
        <v>620.66999999999996</v>
      </c>
      <c r="G533" s="5" t="str">
        <f t="shared" si="26"/>
        <v>No</v>
      </c>
      <c r="H533" t="str">
        <f>INDEX(Lookup!$C$2:$C$9,MATCH(tblSales[[#This Row],[Category Code]],Lookup!$A$2:$A$9,0))</f>
        <v>Nervous system</v>
      </c>
    </row>
    <row r="534" spans="1:8" x14ac:dyDescent="0.25">
      <c r="A534" s="4">
        <v>43677</v>
      </c>
      <c r="B534" s="5">
        <f t="shared" si="24"/>
        <v>2019</v>
      </c>
      <c r="C534" s="5">
        <f t="shared" si="25"/>
        <v>7</v>
      </c>
      <c r="D534" s="5" t="s">
        <v>13</v>
      </c>
      <c r="E534" s="5" t="str">
        <f>VLOOKUP(D534,Lookup!$A$2:$C$9,2,FALSE())</f>
        <v>Anxiolytics</v>
      </c>
      <c r="F534" s="6">
        <v>250.6</v>
      </c>
      <c r="G534" s="5" t="str">
        <f t="shared" si="26"/>
        <v>No</v>
      </c>
      <c r="H534" t="str">
        <f>INDEX(Lookup!$C$2:$C$9,MATCH(tblSales[[#This Row],[Category Code]],Lookup!$A$2:$A$9,0))</f>
        <v>Nervous system</v>
      </c>
    </row>
    <row r="535" spans="1:8" x14ac:dyDescent="0.25">
      <c r="A535" s="4">
        <v>43677</v>
      </c>
      <c r="B535" s="5">
        <f t="shared" si="24"/>
        <v>2019</v>
      </c>
      <c r="C535" s="5">
        <f t="shared" si="25"/>
        <v>7</v>
      </c>
      <c r="D535" s="5" t="s">
        <v>14</v>
      </c>
      <c r="E535" s="5" t="str">
        <f>VLOOKUP(D535,Lookup!$A$2:$C$9,2,FALSE())</f>
        <v>Hypnotics &amp; sedatives</v>
      </c>
      <c r="F535" s="6">
        <v>20</v>
      </c>
      <c r="G535" s="5" t="str">
        <f t="shared" si="26"/>
        <v>No</v>
      </c>
      <c r="H535" t="str">
        <f>INDEX(Lookup!$C$2:$C$9,MATCH(tblSales[[#This Row],[Category Code]],Lookup!$A$2:$A$9,0))</f>
        <v>Nervous system</v>
      </c>
    </row>
    <row r="536" spans="1:8" x14ac:dyDescent="0.25">
      <c r="A536" s="4">
        <v>43677</v>
      </c>
      <c r="B536" s="5">
        <f t="shared" si="24"/>
        <v>2019</v>
      </c>
      <c r="C536" s="5">
        <f t="shared" si="25"/>
        <v>7</v>
      </c>
      <c r="D536" s="5" t="s">
        <v>15</v>
      </c>
      <c r="E536" s="5" t="str">
        <f>VLOOKUP(D536,Lookup!$A$2:$C$9,2,FALSE())</f>
        <v>Airway disease drugs</v>
      </c>
      <c r="F536" s="6">
        <v>115</v>
      </c>
      <c r="G536" s="5" t="str">
        <f t="shared" si="26"/>
        <v>No</v>
      </c>
      <c r="H536" t="str">
        <f>INDEX(Lookup!$C$2:$C$9,MATCH(tblSales[[#This Row],[Category Code]],Lookup!$A$2:$A$9,0))</f>
        <v>Respiratory system</v>
      </c>
    </row>
    <row r="537" spans="1:8" x14ac:dyDescent="0.25">
      <c r="A537" s="4">
        <v>43677</v>
      </c>
      <c r="B537" s="5">
        <f t="shared" si="24"/>
        <v>2019</v>
      </c>
      <c r="C537" s="5">
        <f t="shared" si="25"/>
        <v>7</v>
      </c>
      <c r="D537" s="5" t="s">
        <v>16</v>
      </c>
      <c r="E537" s="5" t="str">
        <f>VLOOKUP(D537,Lookup!$A$2:$C$9,2,FALSE())</f>
        <v>Antihistamines</v>
      </c>
      <c r="F537" s="6">
        <v>105.2</v>
      </c>
      <c r="G537" s="5" t="str">
        <f t="shared" si="26"/>
        <v>No</v>
      </c>
      <c r="H537" t="str">
        <f>INDEX(Lookup!$C$2:$C$9,MATCH(tblSales[[#This Row],[Category Code]],Lookup!$A$2:$A$9,0))</f>
        <v>Respiratory system</v>
      </c>
    </row>
    <row r="538" spans="1:8" x14ac:dyDescent="0.25">
      <c r="A538" s="4">
        <v>43708</v>
      </c>
      <c r="B538" s="5">
        <f t="shared" si="24"/>
        <v>2019</v>
      </c>
      <c r="C538" s="5">
        <f t="shared" si="25"/>
        <v>8</v>
      </c>
      <c r="D538" s="5" t="s">
        <v>9</v>
      </c>
      <c r="E538" s="5" t="str">
        <f>VLOOKUP(D538,Lookup!$A$2:$C$9,2,FALSE())</f>
        <v>Anti-inflammatory (acetic acid)</v>
      </c>
      <c r="F538" s="6">
        <v>181.91</v>
      </c>
      <c r="G538" s="5" t="str">
        <f t="shared" si="26"/>
        <v>No</v>
      </c>
      <c r="H538" t="str">
        <f>INDEX(Lookup!$C$2:$C$9,MATCH(tblSales[[#This Row],[Category Code]],Lookup!$A$2:$A$9,0))</f>
        <v>Musculo-skeletal system</v>
      </c>
    </row>
    <row r="539" spans="1:8" x14ac:dyDescent="0.25">
      <c r="A539" s="4">
        <v>43708</v>
      </c>
      <c r="B539" s="5">
        <f t="shared" si="24"/>
        <v>2019</v>
      </c>
      <c r="C539" s="5">
        <f t="shared" si="25"/>
        <v>8</v>
      </c>
      <c r="D539" s="5" t="s">
        <v>10</v>
      </c>
      <c r="E539" s="5" t="str">
        <f>VLOOKUP(D539,Lookup!$A$2:$C$9,2,FALSE())</f>
        <v>Anti-inflammatory (propionic acid)</v>
      </c>
      <c r="F539" s="6">
        <v>88.27</v>
      </c>
      <c r="G539" s="5" t="str">
        <f t="shared" si="26"/>
        <v>No</v>
      </c>
      <c r="H539" t="str">
        <f>INDEX(Lookup!$C$2:$C$9,MATCH(tblSales[[#This Row],[Category Code]],Lookup!$A$2:$A$9,0))</f>
        <v>Musculo-skeletal system</v>
      </c>
    </row>
    <row r="540" spans="1:8" x14ac:dyDescent="0.25">
      <c r="A540" s="4">
        <v>43708</v>
      </c>
      <c r="B540" s="5">
        <f t="shared" si="24"/>
        <v>2019</v>
      </c>
      <c r="C540" s="5">
        <f t="shared" si="25"/>
        <v>8</v>
      </c>
      <c r="D540" s="5" t="s">
        <v>11</v>
      </c>
      <c r="E540" s="5" t="str">
        <f>VLOOKUP(D540,Lookup!$A$2:$C$9,2,FALSE())</f>
        <v>Analgesic (salicylic acid)</v>
      </c>
      <c r="F540" s="6">
        <v>84.2</v>
      </c>
      <c r="G540" s="5" t="str">
        <f t="shared" si="26"/>
        <v>No</v>
      </c>
      <c r="H540" t="str">
        <f>INDEX(Lookup!$C$2:$C$9,MATCH(tblSales[[#This Row],[Category Code]],Lookup!$A$2:$A$9,0))</f>
        <v>Nervous system</v>
      </c>
    </row>
    <row r="541" spans="1:8" x14ac:dyDescent="0.25">
      <c r="A541" s="4">
        <v>43708</v>
      </c>
      <c r="B541" s="5">
        <f t="shared" si="24"/>
        <v>2019</v>
      </c>
      <c r="C541" s="5">
        <f t="shared" si="25"/>
        <v>8</v>
      </c>
      <c r="D541" s="5" t="s">
        <v>12</v>
      </c>
      <c r="E541" s="5" t="str">
        <f>VLOOKUP(D541,Lookup!$A$2:$C$9,2,FALSE())</f>
        <v>Analgesic (paracetamol-type)</v>
      </c>
      <c r="F541" s="6">
        <v>518.1</v>
      </c>
      <c r="G541" s="5" t="str">
        <f t="shared" si="26"/>
        <v>No</v>
      </c>
      <c r="H541" t="str">
        <f>INDEX(Lookup!$C$2:$C$9,MATCH(tblSales[[#This Row],[Category Code]],Lookup!$A$2:$A$9,0))</f>
        <v>Nervous system</v>
      </c>
    </row>
    <row r="542" spans="1:8" x14ac:dyDescent="0.25">
      <c r="A542" s="4">
        <v>43708</v>
      </c>
      <c r="B542" s="5">
        <f t="shared" si="24"/>
        <v>2019</v>
      </c>
      <c r="C542" s="5">
        <f t="shared" si="25"/>
        <v>8</v>
      </c>
      <c r="D542" s="5" t="s">
        <v>13</v>
      </c>
      <c r="E542" s="5" t="str">
        <f>VLOOKUP(D542,Lookup!$A$2:$C$9,2,FALSE())</f>
        <v>Anxiolytics</v>
      </c>
      <c r="F542" s="6">
        <v>237</v>
      </c>
      <c r="G542" s="5" t="str">
        <f t="shared" si="26"/>
        <v>No</v>
      </c>
      <c r="H542" t="str">
        <f>INDEX(Lookup!$C$2:$C$9,MATCH(tblSales[[#This Row],[Category Code]],Lookup!$A$2:$A$9,0))</f>
        <v>Nervous system</v>
      </c>
    </row>
    <row r="543" spans="1:8" x14ac:dyDescent="0.25">
      <c r="A543" s="4">
        <v>43708</v>
      </c>
      <c r="B543" s="5">
        <f t="shared" si="24"/>
        <v>2019</v>
      </c>
      <c r="C543" s="5">
        <f t="shared" si="25"/>
        <v>8</v>
      </c>
      <c r="D543" s="5" t="s">
        <v>14</v>
      </c>
      <c r="E543" s="5" t="str">
        <f>VLOOKUP(D543,Lookup!$A$2:$C$9,2,FALSE())</f>
        <v>Hypnotics &amp; sedatives</v>
      </c>
      <c r="F543" s="6">
        <v>26</v>
      </c>
      <c r="G543" s="5" t="str">
        <f t="shared" si="26"/>
        <v>No</v>
      </c>
      <c r="H543" t="str">
        <f>INDEX(Lookup!$C$2:$C$9,MATCH(tblSales[[#This Row],[Category Code]],Lookup!$A$2:$A$9,0))</f>
        <v>Nervous system</v>
      </c>
    </row>
    <row r="544" spans="1:8" x14ac:dyDescent="0.25">
      <c r="A544" s="4">
        <v>43708</v>
      </c>
      <c r="B544" s="5">
        <f t="shared" si="24"/>
        <v>2019</v>
      </c>
      <c r="C544" s="5">
        <f t="shared" si="25"/>
        <v>8</v>
      </c>
      <c r="D544" s="5" t="s">
        <v>15</v>
      </c>
      <c r="E544" s="5" t="str">
        <f>VLOOKUP(D544,Lookup!$A$2:$C$9,2,FALSE())</f>
        <v>Airway disease drugs</v>
      </c>
      <c r="F544" s="6">
        <v>145</v>
      </c>
      <c r="G544" s="5" t="str">
        <f t="shared" si="26"/>
        <v>No</v>
      </c>
      <c r="H544" t="str">
        <f>INDEX(Lookup!$C$2:$C$9,MATCH(tblSales[[#This Row],[Category Code]],Lookup!$A$2:$A$9,0))</f>
        <v>Respiratory system</v>
      </c>
    </row>
    <row r="545" spans="1:8" x14ac:dyDescent="0.25">
      <c r="A545" s="4">
        <v>43708</v>
      </c>
      <c r="B545" s="5">
        <f t="shared" si="24"/>
        <v>2019</v>
      </c>
      <c r="C545" s="5">
        <f t="shared" si="25"/>
        <v>8</v>
      </c>
      <c r="D545" s="5" t="s">
        <v>16</v>
      </c>
      <c r="E545" s="5" t="str">
        <f>VLOOKUP(D545,Lookup!$A$2:$C$9,2,FALSE())</f>
        <v>Antihistamines</v>
      </c>
      <c r="F545" s="6">
        <v>97.3</v>
      </c>
      <c r="G545" s="5" t="str">
        <f t="shared" si="26"/>
        <v>No</v>
      </c>
      <c r="H545" t="str">
        <f>INDEX(Lookup!$C$2:$C$9,MATCH(tblSales[[#This Row],[Category Code]],Lookup!$A$2:$A$9,0))</f>
        <v>Respiratory system</v>
      </c>
    </row>
    <row r="546" spans="1:8" x14ac:dyDescent="0.25">
      <c r="A546" s="4">
        <v>43738</v>
      </c>
      <c r="B546" s="5">
        <f t="shared" si="24"/>
        <v>2019</v>
      </c>
      <c r="C546" s="5">
        <f t="shared" si="25"/>
        <v>9</v>
      </c>
      <c r="D546" s="5" t="s">
        <v>9</v>
      </c>
      <c r="E546" s="5" t="str">
        <f>VLOOKUP(D546,Lookup!$A$2:$C$9,2,FALSE())</f>
        <v>Anti-inflammatory (acetic acid)</v>
      </c>
      <c r="F546" s="6">
        <v>161.07</v>
      </c>
      <c r="G546" s="5" t="str">
        <f t="shared" si="26"/>
        <v>No</v>
      </c>
      <c r="H546" t="str">
        <f>INDEX(Lookup!$C$2:$C$9,MATCH(tblSales[[#This Row],[Category Code]],Lookup!$A$2:$A$9,0))</f>
        <v>Musculo-skeletal system</v>
      </c>
    </row>
    <row r="547" spans="1:8" x14ac:dyDescent="0.25">
      <c r="A547" s="4">
        <v>43738</v>
      </c>
      <c r="B547" s="5">
        <f t="shared" si="24"/>
        <v>2019</v>
      </c>
      <c r="C547" s="5">
        <f t="shared" si="25"/>
        <v>9</v>
      </c>
      <c r="D547" s="5" t="s">
        <v>10</v>
      </c>
      <c r="E547" s="5" t="str">
        <f>VLOOKUP(D547,Lookup!$A$2:$C$9,2,FALSE())</f>
        <v>Anti-inflammatory (propionic acid)</v>
      </c>
      <c r="F547" s="6">
        <v>111.44</v>
      </c>
      <c r="G547" s="5" t="str">
        <f t="shared" si="26"/>
        <v>No</v>
      </c>
      <c r="H547" t="str">
        <f>INDEX(Lookup!$C$2:$C$9,MATCH(tblSales[[#This Row],[Category Code]],Lookup!$A$2:$A$9,0))</f>
        <v>Musculo-skeletal system</v>
      </c>
    </row>
    <row r="548" spans="1:8" x14ac:dyDescent="0.25">
      <c r="A548" s="4">
        <v>43738</v>
      </c>
      <c r="B548" s="5">
        <f t="shared" si="24"/>
        <v>2019</v>
      </c>
      <c r="C548" s="5">
        <f t="shared" si="25"/>
        <v>9</v>
      </c>
      <c r="D548" s="5" t="s">
        <v>11</v>
      </c>
      <c r="E548" s="5" t="str">
        <f>VLOOKUP(D548,Lookup!$A$2:$C$9,2,FALSE())</f>
        <v>Analgesic (salicylic acid)</v>
      </c>
      <c r="F548" s="6">
        <v>93.5</v>
      </c>
      <c r="G548" s="5" t="str">
        <f t="shared" si="26"/>
        <v>No</v>
      </c>
      <c r="H548" t="str">
        <f>INDEX(Lookup!$C$2:$C$9,MATCH(tblSales[[#This Row],[Category Code]],Lookup!$A$2:$A$9,0))</f>
        <v>Nervous system</v>
      </c>
    </row>
    <row r="549" spans="1:8" x14ac:dyDescent="0.25">
      <c r="A549" s="4">
        <v>43738</v>
      </c>
      <c r="B549" s="5">
        <f t="shared" si="24"/>
        <v>2019</v>
      </c>
      <c r="C549" s="5">
        <f t="shared" si="25"/>
        <v>9</v>
      </c>
      <c r="D549" s="5" t="s">
        <v>12</v>
      </c>
      <c r="E549" s="5" t="str">
        <f>VLOOKUP(D549,Lookup!$A$2:$C$9,2,FALSE())</f>
        <v>Analgesic (paracetamol-type)</v>
      </c>
      <c r="F549" s="6">
        <v>984.48</v>
      </c>
      <c r="G549" s="5" t="str">
        <f t="shared" si="26"/>
        <v>No</v>
      </c>
      <c r="H549" t="str">
        <f>INDEX(Lookup!$C$2:$C$9,MATCH(tblSales[[#This Row],[Category Code]],Lookup!$A$2:$A$9,0))</f>
        <v>Nervous system</v>
      </c>
    </row>
    <row r="550" spans="1:8" x14ac:dyDescent="0.25">
      <c r="A550" s="4">
        <v>43738</v>
      </c>
      <c r="B550" s="5">
        <f t="shared" si="24"/>
        <v>2019</v>
      </c>
      <c r="C550" s="5">
        <f t="shared" si="25"/>
        <v>9</v>
      </c>
      <c r="D550" s="5" t="s">
        <v>13</v>
      </c>
      <c r="E550" s="5" t="str">
        <f>VLOOKUP(D550,Lookup!$A$2:$C$9,2,FALSE())</f>
        <v>Anxiolytics</v>
      </c>
      <c r="F550" s="6">
        <v>227.8</v>
      </c>
      <c r="G550" s="5" t="str">
        <f t="shared" si="26"/>
        <v>No</v>
      </c>
      <c r="H550" t="str">
        <f>INDEX(Lookup!$C$2:$C$9,MATCH(tblSales[[#This Row],[Category Code]],Lookup!$A$2:$A$9,0))</f>
        <v>Nervous system</v>
      </c>
    </row>
    <row r="551" spans="1:8" x14ac:dyDescent="0.25">
      <c r="A551" s="4">
        <v>43738</v>
      </c>
      <c r="B551" s="5">
        <f t="shared" si="24"/>
        <v>2019</v>
      </c>
      <c r="C551" s="5">
        <f t="shared" si="25"/>
        <v>9</v>
      </c>
      <c r="D551" s="5" t="s">
        <v>14</v>
      </c>
      <c r="E551" s="5" t="str">
        <f>VLOOKUP(D551,Lookup!$A$2:$C$9,2,FALSE())</f>
        <v>Hypnotics &amp; sedatives</v>
      </c>
      <c r="F551" s="6">
        <v>16</v>
      </c>
      <c r="G551" s="5" t="str">
        <f t="shared" si="26"/>
        <v>No</v>
      </c>
      <c r="H551" t="str">
        <f>INDEX(Lookup!$C$2:$C$9,MATCH(tblSales[[#This Row],[Category Code]],Lookup!$A$2:$A$9,0))</f>
        <v>Nervous system</v>
      </c>
    </row>
    <row r="552" spans="1:8" x14ac:dyDescent="0.25">
      <c r="A552" s="4">
        <v>43738</v>
      </c>
      <c r="B552" s="5">
        <f t="shared" si="24"/>
        <v>2019</v>
      </c>
      <c r="C552" s="5">
        <f t="shared" si="25"/>
        <v>9</v>
      </c>
      <c r="D552" s="5" t="s">
        <v>15</v>
      </c>
      <c r="E552" s="5" t="str">
        <f>VLOOKUP(D552,Lookup!$A$2:$C$9,2,FALSE())</f>
        <v>Airway disease drugs</v>
      </c>
      <c r="F552" s="6">
        <v>121.42</v>
      </c>
      <c r="G552" s="5" t="str">
        <f t="shared" si="26"/>
        <v>No</v>
      </c>
      <c r="H552" t="str">
        <f>INDEX(Lookup!$C$2:$C$9,MATCH(tblSales[[#This Row],[Category Code]],Lookup!$A$2:$A$9,0))</f>
        <v>Respiratory system</v>
      </c>
    </row>
    <row r="553" spans="1:8" x14ac:dyDescent="0.25">
      <c r="A553" s="4">
        <v>43738</v>
      </c>
      <c r="B553" s="5">
        <f t="shared" si="24"/>
        <v>2019</v>
      </c>
      <c r="C553" s="5">
        <f t="shared" si="25"/>
        <v>9</v>
      </c>
      <c r="D553" s="5" t="s">
        <v>16</v>
      </c>
      <c r="E553" s="5" t="str">
        <f>VLOOKUP(D553,Lookup!$A$2:$C$9,2,FALSE())</f>
        <v>Antihistamines</v>
      </c>
      <c r="F553" s="6">
        <v>109.1</v>
      </c>
      <c r="G553" s="5" t="str">
        <f t="shared" si="26"/>
        <v>No</v>
      </c>
      <c r="H553" t="str">
        <f>INDEX(Lookup!$C$2:$C$9,MATCH(tblSales[[#This Row],[Category Code]],Lookup!$A$2:$A$9,0))</f>
        <v>Respiratory system</v>
      </c>
    </row>
    <row r="554" spans="1:8" x14ac:dyDescent="0.25">
      <c r="A554" s="4">
        <v>43769</v>
      </c>
      <c r="B554" s="5">
        <f t="shared" si="24"/>
        <v>2019</v>
      </c>
      <c r="C554" s="5">
        <f t="shared" si="25"/>
        <v>10</v>
      </c>
      <c r="D554" s="5" t="s">
        <v>9</v>
      </c>
      <c r="E554" s="5" t="str">
        <f>VLOOKUP(D554,Lookup!$A$2:$C$9,2,FALSE())</f>
        <v>Anti-inflammatory (acetic acid)</v>
      </c>
      <c r="F554" s="6">
        <v>44.37</v>
      </c>
      <c r="G554" s="5" t="str">
        <f t="shared" si="26"/>
        <v>Yes</v>
      </c>
      <c r="H554" t="str">
        <f>INDEX(Lookup!$C$2:$C$9,MATCH(tblSales[[#This Row],[Category Code]],Lookup!$A$2:$A$9,0))</f>
        <v>Musculo-skeletal system</v>
      </c>
    </row>
    <row r="555" spans="1:8" x14ac:dyDescent="0.25">
      <c r="A555" s="4">
        <v>43769</v>
      </c>
      <c r="B555" s="5">
        <f t="shared" si="24"/>
        <v>2019</v>
      </c>
      <c r="C555" s="5">
        <f t="shared" si="25"/>
        <v>10</v>
      </c>
      <c r="D555" s="5" t="s">
        <v>10</v>
      </c>
      <c r="E555" s="5" t="str">
        <f>VLOOKUP(D555,Lookup!$A$2:$C$9,2,FALSE())</f>
        <v>Anti-inflammatory (propionic acid)</v>
      </c>
      <c r="F555" s="6">
        <v>37.299999999999997</v>
      </c>
      <c r="G555" s="5" t="str">
        <f t="shared" si="26"/>
        <v>Yes</v>
      </c>
      <c r="H555" t="str">
        <f>INDEX(Lookup!$C$2:$C$9,MATCH(tblSales[[#This Row],[Category Code]],Lookup!$A$2:$A$9,0))</f>
        <v>Musculo-skeletal system</v>
      </c>
    </row>
    <row r="556" spans="1:8" x14ac:dyDescent="0.25">
      <c r="A556" s="4">
        <v>43769</v>
      </c>
      <c r="B556" s="5">
        <f t="shared" si="24"/>
        <v>2019</v>
      </c>
      <c r="C556" s="5">
        <f t="shared" si="25"/>
        <v>10</v>
      </c>
      <c r="D556" s="5" t="s">
        <v>11</v>
      </c>
      <c r="E556" s="5" t="str">
        <f>VLOOKUP(D556,Lookup!$A$2:$C$9,2,FALSE())</f>
        <v>Analgesic (salicylic acid)</v>
      </c>
      <c r="F556" s="6">
        <v>20.65</v>
      </c>
      <c r="G556" s="5" t="str">
        <f t="shared" si="26"/>
        <v>Yes</v>
      </c>
      <c r="H556" t="str">
        <f>INDEX(Lookup!$C$2:$C$9,MATCH(tblSales[[#This Row],[Category Code]],Lookup!$A$2:$A$9,0))</f>
        <v>Nervous system</v>
      </c>
    </row>
    <row r="557" spans="1:8" x14ac:dyDescent="0.25">
      <c r="A557" s="4">
        <v>43769</v>
      </c>
      <c r="B557" s="5">
        <f t="shared" si="24"/>
        <v>2019</v>
      </c>
      <c r="C557" s="5">
        <f t="shared" si="25"/>
        <v>10</v>
      </c>
      <c r="D557" s="5" t="s">
        <v>12</v>
      </c>
      <c r="E557" s="5" t="str">
        <f>VLOOKUP(D557,Lookup!$A$2:$C$9,2,FALSE())</f>
        <v>Analgesic (paracetamol-type)</v>
      </c>
      <c r="F557" s="6">
        <v>295.14999999999998</v>
      </c>
      <c r="G557" s="5" t="str">
        <f t="shared" si="26"/>
        <v>Yes</v>
      </c>
      <c r="H557" t="str">
        <f>INDEX(Lookup!$C$2:$C$9,MATCH(tblSales[[#This Row],[Category Code]],Lookup!$A$2:$A$9,0))</f>
        <v>Nervous system</v>
      </c>
    </row>
    <row r="558" spans="1:8" x14ac:dyDescent="0.25">
      <c r="A558" s="4">
        <v>43769</v>
      </c>
      <c r="B558" s="5">
        <f t="shared" si="24"/>
        <v>2019</v>
      </c>
      <c r="C558" s="5">
        <f t="shared" si="25"/>
        <v>10</v>
      </c>
      <c r="D558" s="5" t="s">
        <v>13</v>
      </c>
      <c r="E558" s="5" t="str">
        <f>VLOOKUP(D558,Lookup!$A$2:$C$9,2,FALSE())</f>
        <v>Anxiolytics</v>
      </c>
      <c r="F558" s="6">
        <v>86</v>
      </c>
      <c r="G558" s="5" t="str">
        <f t="shared" si="26"/>
        <v>Yes</v>
      </c>
      <c r="H558" t="str">
        <f>INDEX(Lookup!$C$2:$C$9,MATCH(tblSales[[#This Row],[Category Code]],Lookup!$A$2:$A$9,0))</f>
        <v>Nervous system</v>
      </c>
    </row>
    <row r="559" spans="1:8" x14ac:dyDescent="0.25">
      <c r="A559" s="4">
        <v>43769</v>
      </c>
      <c r="B559" s="5">
        <f t="shared" si="24"/>
        <v>2019</v>
      </c>
      <c r="C559" s="5">
        <f t="shared" si="25"/>
        <v>10</v>
      </c>
      <c r="D559" s="5" t="s">
        <v>14</v>
      </c>
      <c r="E559" s="5" t="str">
        <f>VLOOKUP(D559,Lookup!$A$2:$C$9,2,FALSE())</f>
        <v>Hypnotics &amp; sedatives</v>
      </c>
      <c r="F559" s="6">
        <v>7</v>
      </c>
      <c r="G559" s="5" t="str">
        <f t="shared" si="26"/>
        <v>Yes</v>
      </c>
      <c r="H559" t="str">
        <f>INDEX(Lookup!$C$2:$C$9,MATCH(tblSales[[#This Row],[Category Code]],Lookup!$A$2:$A$9,0))</f>
        <v>Nervous system</v>
      </c>
    </row>
    <row r="560" spans="1:8" x14ac:dyDescent="0.25">
      <c r="A560" s="4">
        <v>43769</v>
      </c>
      <c r="B560" s="5">
        <f t="shared" si="24"/>
        <v>2019</v>
      </c>
      <c r="C560" s="5">
        <f t="shared" si="25"/>
        <v>10</v>
      </c>
      <c r="D560" s="5" t="s">
        <v>15</v>
      </c>
      <c r="E560" s="5" t="str">
        <f>VLOOKUP(D560,Lookup!$A$2:$C$9,2,FALSE())</f>
        <v>Airway disease drugs</v>
      </c>
      <c r="F560" s="6">
        <v>37</v>
      </c>
      <c r="G560" s="5" t="str">
        <f t="shared" si="26"/>
        <v>Yes</v>
      </c>
      <c r="H560" t="str">
        <f>INDEX(Lookup!$C$2:$C$9,MATCH(tblSales[[#This Row],[Category Code]],Lookup!$A$2:$A$9,0))</f>
        <v>Respiratory system</v>
      </c>
    </row>
    <row r="561" spans="1:8" x14ac:dyDescent="0.25">
      <c r="A561" s="4">
        <v>43769</v>
      </c>
      <c r="B561" s="5">
        <f t="shared" si="24"/>
        <v>2019</v>
      </c>
      <c r="C561" s="5">
        <f t="shared" si="25"/>
        <v>10</v>
      </c>
      <c r="D561" s="5" t="s">
        <v>16</v>
      </c>
      <c r="E561" s="5" t="str">
        <f>VLOOKUP(D561,Lookup!$A$2:$C$9,2,FALSE())</f>
        <v>Antihistamines</v>
      </c>
      <c r="F561" s="6">
        <v>11.13</v>
      </c>
      <c r="G561" s="5" t="str">
        <f t="shared" si="26"/>
        <v>Yes</v>
      </c>
      <c r="H561" t="str">
        <f>INDEX(Lookup!$C$2:$C$9,MATCH(tblSales[[#This Row],[Category Code]],Lookup!$A$2:$A$9,0))</f>
        <v>Respiratory system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zoomScaleNormal="100" workbookViewId="0"/>
  </sheetViews>
  <sheetFormatPr defaultColWidth="8.7109375" defaultRowHeight="15" x14ac:dyDescent="0.25"/>
  <cols>
    <col min="1" max="1" width="16" customWidth="1"/>
    <col min="2" max="2" width="36" customWidth="1"/>
    <col min="3" max="3" width="26" customWidth="1"/>
  </cols>
  <sheetData>
    <row r="1" spans="1:5" x14ac:dyDescent="0.25">
      <c r="A1" s="7" t="s">
        <v>5</v>
      </c>
      <c r="B1" s="7" t="s">
        <v>6</v>
      </c>
      <c r="C1" s="7" t="s">
        <v>17</v>
      </c>
      <c r="E1" s="2" t="s">
        <v>18</v>
      </c>
    </row>
    <row r="2" spans="1:5" x14ac:dyDescent="0.25">
      <c r="A2" s="8" t="s">
        <v>9</v>
      </c>
      <c r="B2" s="8" t="s">
        <v>19</v>
      </c>
      <c r="C2" s="8" t="s">
        <v>20</v>
      </c>
    </row>
    <row r="3" spans="1:5" x14ac:dyDescent="0.25">
      <c r="A3" s="8" t="s">
        <v>10</v>
      </c>
      <c r="B3" s="8" t="s">
        <v>21</v>
      </c>
      <c r="C3" s="8" t="s">
        <v>20</v>
      </c>
    </row>
    <row r="4" spans="1:5" x14ac:dyDescent="0.25">
      <c r="A4" s="8" t="s">
        <v>11</v>
      </c>
      <c r="B4" s="8" t="s">
        <v>22</v>
      </c>
      <c r="C4" s="8" t="s">
        <v>23</v>
      </c>
    </row>
    <row r="5" spans="1:5" x14ac:dyDescent="0.25">
      <c r="A5" s="8" t="s">
        <v>12</v>
      </c>
      <c r="B5" s="8" t="s">
        <v>24</v>
      </c>
      <c r="C5" s="8" t="s">
        <v>23</v>
      </c>
    </row>
    <row r="6" spans="1:5" x14ac:dyDescent="0.25">
      <c r="A6" s="8" t="s">
        <v>13</v>
      </c>
      <c r="B6" s="8" t="s">
        <v>25</v>
      </c>
      <c r="C6" s="8" t="s">
        <v>23</v>
      </c>
    </row>
    <row r="7" spans="1:5" x14ac:dyDescent="0.25">
      <c r="A7" s="8" t="s">
        <v>14</v>
      </c>
      <c r="B7" s="8" t="s">
        <v>26</v>
      </c>
      <c r="C7" s="8" t="s">
        <v>23</v>
      </c>
    </row>
    <row r="8" spans="1:5" x14ac:dyDescent="0.25">
      <c r="A8" s="8" t="s">
        <v>15</v>
      </c>
      <c r="B8" s="8" t="s">
        <v>27</v>
      </c>
      <c r="C8" s="8" t="s">
        <v>28</v>
      </c>
    </row>
    <row r="9" spans="1:5" x14ac:dyDescent="0.25">
      <c r="A9" s="8" t="s">
        <v>16</v>
      </c>
      <c r="B9" s="8" t="s">
        <v>29</v>
      </c>
      <c r="C9" s="8" t="s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4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7109375" defaultRowHeight="15" x14ac:dyDescent="0.25"/>
  <cols>
    <col min="1" max="1" width="11" customWidth="1"/>
    <col min="2" max="10" width="9" customWidth="1"/>
    <col min="12" max="12" width="9" customWidth="1"/>
    <col min="13" max="13" width="32" customWidth="1"/>
    <col min="14" max="14" width="10" customWidth="1"/>
    <col min="15" max="15" width="8" customWidth="1"/>
    <col min="17" max="17" width="7" customWidth="1"/>
    <col min="18" max="18" width="9" customWidth="1"/>
    <col min="19" max="19" width="8" customWidth="1"/>
    <col min="20" max="20" width="32" customWidth="1"/>
    <col min="21" max="21" width="8" customWidth="1"/>
    <col min="23" max="23" width="8" customWidth="1"/>
    <col min="24" max="24" width="14" customWidth="1"/>
    <col min="25" max="25" width="8" customWidth="1"/>
  </cols>
  <sheetData>
    <row r="1" spans="1:25" ht="15.75" x14ac:dyDescent="0.25">
      <c r="A1" s="9" t="s">
        <v>30</v>
      </c>
    </row>
    <row r="2" spans="1:25" x14ac:dyDescent="0.25">
      <c r="A2" s="10" t="s">
        <v>31</v>
      </c>
      <c r="L2" s="10" t="s">
        <v>32</v>
      </c>
      <c r="Q2" s="10" t="s">
        <v>33</v>
      </c>
      <c r="W2" s="10" t="s">
        <v>34</v>
      </c>
    </row>
    <row r="3" spans="1:25" x14ac:dyDescent="0.25">
      <c r="A3" s="3" t="s">
        <v>2</v>
      </c>
      <c r="B3" s="3" t="str">
        <f>Lookup!A2</f>
        <v>M01AB</v>
      </c>
      <c r="C3" s="3" t="str">
        <f>Lookup!A3</f>
        <v>M01AE</v>
      </c>
      <c r="D3" s="3" t="str">
        <f>Lookup!A4</f>
        <v>N02BA</v>
      </c>
      <c r="E3" s="3" t="str">
        <f>Lookup!A5</f>
        <v>N02BE</v>
      </c>
      <c r="F3" s="3" t="str">
        <f>Lookup!A6</f>
        <v>N05B</v>
      </c>
      <c r="G3" s="3" t="str">
        <f>Lookup!A7</f>
        <v>N05C</v>
      </c>
      <c r="H3" s="3" t="str">
        <f>Lookup!A8</f>
        <v>R03</v>
      </c>
      <c r="I3" s="3" t="str">
        <f>Lookup!A9</f>
        <v>R06</v>
      </c>
      <c r="J3" s="3" t="s">
        <v>35</v>
      </c>
      <c r="L3" s="3" t="s">
        <v>36</v>
      </c>
      <c r="M3" s="3" t="s">
        <v>37</v>
      </c>
      <c r="N3" s="3" t="s">
        <v>38</v>
      </c>
      <c r="O3" s="3" t="s">
        <v>39</v>
      </c>
      <c r="Q3" s="3" t="s">
        <v>40</v>
      </c>
      <c r="R3" s="3" t="s">
        <v>38</v>
      </c>
      <c r="S3" s="3" t="s">
        <v>36</v>
      </c>
      <c r="T3" s="3" t="s">
        <v>37</v>
      </c>
      <c r="U3" s="3" t="s">
        <v>39</v>
      </c>
      <c r="W3" s="3" t="s">
        <v>3</v>
      </c>
      <c r="X3" s="3" t="s">
        <v>41</v>
      </c>
      <c r="Y3" s="3" t="s">
        <v>42</v>
      </c>
    </row>
    <row r="4" spans="1:25" x14ac:dyDescent="0.25">
      <c r="A4" s="11">
        <v>41670</v>
      </c>
      <c r="B4" s="12">
        <f>SUMIFS(Data!$F$2:$F$561,Data!$A$2:$A$561,$A4,Data!$D$2:$D$561,B$3)</f>
        <v>127.69</v>
      </c>
      <c r="C4" s="12">
        <f>SUMIFS(Data!$F$2:$F$561,Data!$A$2:$A$561,$A4,Data!$D$2:$D$561,C$3)</f>
        <v>99.09</v>
      </c>
      <c r="D4" s="12">
        <f>SUMIFS(Data!$F$2:$F$561,Data!$A$2:$A$561,$A4,Data!$D$2:$D$561,D$3)</f>
        <v>152.1</v>
      </c>
      <c r="E4" s="12">
        <f>SUMIFS(Data!$F$2:$F$561,Data!$A$2:$A$561,$A4,Data!$D$2:$D$561,E$3)</f>
        <v>878.03</v>
      </c>
      <c r="F4" s="12">
        <f>SUMIFS(Data!$F$2:$F$561,Data!$A$2:$A$561,$A4,Data!$D$2:$D$561,F$3)</f>
        <v>354</v>
      </c>
      <c r="G4" s="12">
        <f>SUMIFS(Data!$F$2:$F$561,Data!$A$2:$A$561,$A4,Data!$D$2:$D$561,G$3)</f>
        <v>30</v>
      </c>
      <c r="H4" s="12">
        <f>SUMIFS(Data!$F$2:$F$561,Data!$A$2:$A$561,$A4,Data!$D$2:$D$561,H$3)</f>
        <v>112</v>
      </c>
      <c r="I4" s="12">
        <f>SUMIFS(Data!$F$2:$F$561,Data!$A$2:$A$561,$A4,Data!$D$2:$D$561,I$3)</f>
        <v>48.2</v>
      </c>
      <c r="J4" s="12">
        <f t="shared" ref="J4:J35" si="0">SUM(B4:I4)</f>
        <v>1801.11</v>
      </c>
      <c r="K4" s="5"/>
      <c r="L4" s="5" t="str">
        <f>Lookup!A2</f>
        <v>M01AB</v>
      </c>
      <c r="M4" s="5" t="str">
        <f>VLOOKUP(L4,Lookup!$A$2:$C$9,2,FALSE())</f>
        <v>Anti-inflammatory (acetic acid)</v>
      </c>
      <c r="N4" s="12">
        <f>SUMIFS(Data!$F$2:$F$561,Data!$D$2:$D$561,L4)</f>
        <v>10600.930000000002</v>
      </c>
      <c r="O4" s="13">
        <f t="shared" ref="O4:O11" si="1">N4/$N$12</f>
        <v>8.3082292688286763E-2</v>
      </c>
      <c r="P4" s="5"/>
      <c r="Q4" s="8">
        <v>1</v>
      </c>
      <c r="R4" s="12">
        <f t="shared" ref="R4:R11" si="2">LARGE($N$4:$N$11,Q4)</f>
        <v>63005.4</v>
      </c>
      <c r="S4" s="5" t="str">
        <f t="shared" ref="S4:S11" si="3">INDEX($L$4:$L$11,MATCH(R4,$N$4:$N$11,0))</f>
        <v>N02BE</v>
      </c>
      <c r="T4" s="5" t="str">
        <f t="shared" ref="T4:T11" si="4">INDEX($M$4:$M$11,MATCH(R4,$N$4:$N$11,0))</f>
        <v>Analgesic (paracetamol-type)</v>
      </c>
      <c r="U4" s="13">
        <f t="shared" ref="U4:U11" si="5">R4/$N$12</f>
        <v>0.49378998670329699</v>
      </c>
      <c r="V4" s="5"/>
      <c r="W4" s="8">
        <v>2014</v>
      </c>
      <c r="X4" s="12">
        <f>SUMIFS(Data!$F$2:$F$561,Data!$B$2:$B$561,W4,Data!$C$2:$C$561,"&lt;=9")</f>
        <v>14292.209999999997</v>
      </c>
      <c r="Y4" s="5"/>
    </row>
    <row r="5" spans="1:25" x14ac:dyDescent="0.25">
      <c r="A5" s="14">
        <f t="shared" ref="A5:A36" si="6">EOMONTH(A4,1)</f>
        <v>41698</v>
      </c>
      <c r="B5" s="12">
        <f>SUMIFS(Data!$F$2:$F$561,Data!$A$2:$A$561,$A5,Data!$D$2:$D$561,B$3)</f>
        <v>133.32</v>
      </c>
      <c r="C5" s="12">
        <f>SUMIFS(Data!$F$2:$F$561,Data!$A$2:$A$561,$A5,Data!$D$2:$D$561,C$3)</f>
        <v>126.05</v>
      </c>
      <c r="D5" s="12">
        <f>SUMIFS(Data!$F$2:$F$561,Data!$A$2:$A$561,$A5,Data!$D$2:$D$561,D$3)</f>
        <v>177</v>
      </c>
      <c r="E5" s="12">
        <f>SUMIFS(Data!$F$2:$F$561,Data!$A$2:$A$561,$A5,Data!$D$2:$D$561,E$3)</f>
        <v>1001.9</v>
      </c>
      <c r="F5" s="12">
        <f>SUMIFS(Data!$F$2:$F$561,Data!$A$2:$A$561,$A5,Data!$D$2:$D$561,F$3)</f>
        <v>347</v>
      </c>
      <c r="G5" s="12">
        <f>SUMIFS(Data!$F$2:$F$561,Data!$A$2:$A$561,$A5,Data!$D$2:$D$561,G$3)</f>
        <v>31</v>
      </c>
      <c r="H5" s="12">
        <f>SUMIFS(Data!$F$2:$F$561,Data!$A$2:$A$561,$A5,Data!$D$2:$D$561,H$3)</f>
        <v>122</v>
      </c>
      <c r="I5" s="12">
        <f>SUMIFS(Data!$F$2:$F$561,Data!$A$2:$A$561,$A5,Data!$D$2:$D$561,I$3)</f>
        <v>36.200000000000003</v>
      </c>
      <c r="J5" s="12">
        <f t="shared" si="0"/>
        <v>1974.47</v>
      </c>
      <c r="K5" s="5"/>
      <c r="L5" s="5" t="str">
        <f>Lookup!A3</f>
        <v>M01AE</v>
      </c>
      <c r="M5" s="5" t="str">
        <f>VLOOKUP(L5,Lookup!$A$2:$C$9,2,FALSE())</f>
        <v>Anti-inflammatory (propionic acid)</v>
      </c>
      <c r="N5" s="12">
        <f>SUMIFS(Data!$F$2:$F$561,Data!$D$2:$D$561,L5)</f>
        <v>8204.6500000000015</v>
      </c>
      <c r="O5" s="13">
        <f t="shared" si="1"/>
        <v>6.4302012437111838E-2</v>
      </c>
      <c r="P5" s="5"/>
      <c r="Q5" s="8">
        <v>2</v>
      </c>
      <c r="R5" s="12">
        <f t="shared" si="2"/>
        <v>18645.730000000003</v>
      </c>
      <c r="S5" s="5" t="str">
        <f t="shared" si="3"/>
        <v>N05B</v>
      </c>
      <c r="T5" s="5" t="str">
        <f t="shared" si="4"/>
        <v>Anxiolytics</v>
      </c>
      <c r="U5" s="13">
        <f t="shared" si="5"/>
        <v>0.14613151839006286</v>
      </c>
      <c r="V5" s="5"/>
      <c r="W5" s="5">
        <f>W4+1</f>
        <v>2015</v>
      </c>
      <c r="X5" s="12">
        <f>SUMIFS(Data!$F$2:$F$561,Data!$B$2:$B$561,W5,Data!$C$2:$C$561,"&lt;=9")</f>
        <v>15843.060000000001</v>
      </c>
      <c r="Y5" s="13">
        <f>X5/X4-1</f>
        <v>0.10851016043005268</v>
      </c>
    </row>
    <row r="6" spans="1:25" x14ac:dyDescent="0.25">
      <c r="A6" s="14">
        <f t="shared" si="6"/>
        <v>41729</v>
      </c>
      <c r="B6" s="12">
        <f>SUMIFS(Data!$F$2:$F$561,Data!$A$2:$A$561,$A6,Data!$D$2:$D$561,B$3)</f>
        <v>137.44</v>
      </c>
      <c r="C6" s="12">
        <f>SUMIFS(Data!$F$2:$F$561,Data!$A$2:$A$561,$A6,Data!$D$2:$D$561,C$3)</f>
        <v>92.95</v>
      </c>
      <c r="D6" s="12">
        <f>SUMIFS(Data!$F$2:$F$561,Data!$A$2:$A$561,$A6,Data!$D$2:$D$561,D$3)</f>
        <v>147.66</v>
      </c>
      <c r="E6" s="12">
        <f>SUMIFS(Data!$F$2:$F$561,Data!$A$2:$A$561,$A6,Data!$D$2:$D$561,E$3)</f>
        <v>779.27</v>
      </c>
      <c r="F6" s="12">
        <f>SUMIFS(Data!$F$2:$F$561,Data!$A$2:$A$561,$A6,Data!$D$2:$D$561,F$3)</f>
        <v>232</v>
      </c>
      <c r="G6" s="12">
        <f>SUMIFS(Data!$F$2:$F$561,Data!$A$2:$A$561,$A6,Data!$D$2:$D$561,G$3)</f>
        <v>20</v>
      </c>
      <c r="H6" s="12">
        <f>SUMIFS(Data!$F$2:$F$561,Data!$A$2:$A$561,$A6,Data!$D$2:$D$561,H$3)</f>
        <v>112</v>
      </c>
      <c r="I6" s="12">
        <f>SUMIFS(Data!$F$2:$F$561,Data!$A$2:$A$561,$A6,Data!$D$2:$D$561,I$3)</f>
        <v>85.4</v>
      </c>
      <c r="J6" s="12">
        <f t="shared" si="0"/>
        <v>1606.72</v>
      </c>
      <c r="K6" s="5"/>
      <c r="L6" s="5" t="str">
        <f>Lookup!A4</f>
        <v>N02BA</v>
      </c>
      <c r="M6" s="5" t="str">
        <f>VLOOKUP(L6,Lookup!$A$2:$C$9,2,FALSE())</f>
        <v>Analgesic (salicylic acid)</v>
      </c>
      <c r="N6" s="12">
        <f>SUMIFS(Data!$F$2:$F$561,Data!$D$2:$D$561,L6)</f>
        <v>8172.2199999999975</v>
      </c>
      <c r="O6" s="13">
        <f t="shared" si="1"/>
        <v>6.4047849948360241E-2</v>
      </c>
      <c r="P6" s="5"/>
      <c r="Q6" s="8">
        <v>3</v>
      </c>
      <c r="R6" s="12">
        <f t="shared" si="2"/>
        <v>11608.83</v>
      </c>
      <c r="S6" s="5" t="str">
        <f t="shared" si="3"/>
        <v>R03</v>
      </c>
      <c r="T6" s="5" t="str">
        <f t="shared" si="4"/>
        <v>Airway disease drugs</v>
      </c>
      <c r="U6" s="13">
        <f t="shared" si="5"/>
        <v>9.0981471609430861E-2</v>
      </c>
      <c r="V6" s="5"/>
      <c r="W6" s="5">
        <f>W5+1</f>
        <v>2016</v>
      </c>
      <c r="X6" s="12">
        <f>SUMIFS(Data!$F$2:$F$561,Data!$B$2:$B$561,W6,Data!$C$2:$C$561,"&lt;=9")</f>
        <v>18031.179999999993</v>
      </c>
      <c r="Y6" s="13">
        <f>X6/X5-1</f>
        <v>0.13811220812141034</v>
      </c>
    </row>
    <row r="7" spans="1:25" x14ac:dyDescent="0.25">
      <c r="A7" s="14">
        <f t="shared" si="6"/>
        <v>41759</v>
      </c>
      <c r="B7" s="12">
        <f>SUMIFS(Data!$F$2:$F$561,Data!$A$2:$A$561,$A7,Data!$D$2:$D$561,B$3)</f>
        <v>113.1</v>
      </c>
      <c r="C7" s="12">
        <f>SUMIFS(Data!$F$2:$F$561,Data!$A$2:$A$561,$A7,Data!$D$2:$D$561,C$3)</f>
        <v>89.47</v>
      </c>
      <c r="D7" s="12">
        <f>SUMIFS(Data!$F$2:$F$561,Data!$A$2:$A$561,$A7,Data!$D$2:$D$561,D$3)</f>
        <v>125.15</v>
      </c>
      <c r="E7" s="12">
        <f>SUMIFS(Data!$F$2:$F$561,Data!$A$2:$A$561,$A7,Data!$D$2:$D$561,E$3)</f>
        <v>698.5</v>
      </c>
      <c r="F7" s="12">
        <f>SUMIFS(Data!$F$2:$F$561,Data!$A$2:$A$561,$A7,Data!$D$2:$D$561,F$3)</f>
        <v>209</v>
      </c>
      <c r="G7" s="12">
        <f>SUMIFS(Data!$F$2:$F$561,Data!$A$2:$A$561,$A7,Data!$D$2:$D$561,G$3)</f>
        <v>18</v>
      </c>
      <c r="H7" s="12">
        <f>SUMIFS(Data!$F$2:$F$561,Data!$A$2:$A$561,$A7,Data!$D$2:$D$561,H$3)</f>
        <v>97</v>
      </c>
      <c r="I7" s="12">
        <f>SUMIFS(Data!$F$2:$F$561,Data!$A$2:$A$561,$A7,Data!$D$2:$D$561,I$3)</f>
        <v>73.7</v>
      </c>
      <c r="J7" s="12">
        <f t="shared" si="0"/>
        <v>1423.92</v>
      </c>
      <c r="K7" s="5"/>
      <c r="L7" s="5" t="str">
        <f>Lookup!A5</f>
        <v>N02BE</v>
      </c>
      <c r="M7" s="5" t="str">
        <f>VLOOKUP(L7,Lookup!$A$2:$C$9,2,FALSE())</f>
        <v>Analgesic (paracetamol-type)</v>
      </c>
      <c r="N7" s="12">
        <f>SUMIFS(Data!$F$2:$F$561,Data!$D$2:$D$561,L7)</f>
        <v>63005.4</v>
      </c>
      <c r="O7" s="13">
        <f t="shared" si="1"/>
        <v>0.49378998670329699</v>
      </c>
      <c r="P7" s="5"/>
      <c r="Q7" s="8">
        <v>4</v>
      </c>
      <c r="R7" s="12">
        <f t="shared" si="2"/>
        <v>10600.930000000002</v>
      </c>
      <c r="S7" s="5" t="str">
        <f t="shared" si="3"/>
        <v>M01AB</v>
      </c>
      <c r="T7" s="5" t="str">
        <f t="shared" si="4"/>
        <v>Anti-inflammatory (acetic acid)</v>
      </c>
      <c r="U7" s="13">
        <f t="shared" si="5"/>
        <v>8.3082292688286763E-2</v>
      </c>
      <c r="V7" s="5"/>
      <c r="W7" s="5">
        <f>W6+1</f>
        <v>2017</v>
      </c>
      <c r="X7" s="12">
        <f>SUMIFS(Data!$F$2:$F$561,Data!$B$2:$B$561,W7,Data!$C$2:$C$561,"&lt;=9")</f>
        <v>13756.58</v>
      </c>
      <c r="Y7" s="13">
        <f>X7/X6-1</f>
        <v>-0.23706712483597825</v>
      </c>
    </row>
    <row r="8" spans="1:25" x14ac:dyDescent="0.25">
      <c r="A8" s="14">
        <f t="shared" si="6"/>
        <v>41790</v>
      </c>
      <c r="B8" s="12">
        <f>SUMIFS(Data!$F$2:$F$561,Data!$A$2:$A$561,$A8,Data!$D$2:$D$561,B$3)</f>
        <v>101.79</v>
      </c>
      <c r="C8" s="12">
        <f>SUMIFS(Data!$F$2:$F$561,Data!$A$2:$A$561,$A8,Data!$D$2:$D$561,C$3)</f>
        <v>119.93</v>
      </c>
      <c r="D8" s="12">
        <f>SUMIFS(Data!$F$2:$F$561,Data!$A$2:$A$561,$A8,Data!$D$2:$D$561,D$3)</f>
        <v>132.1</v>
      </c>
      <c r="E8" s="12">
        <f>SUMIFS(Data!$F$2:$F$561,Data!$A$2:$A$561,$A8,Data!$D$2:$D$561,E$3)</f>
        <v>628.78</v>
      </c>
      <c r="F8" s="12">
        <f>SUMIFS(Data!$F$2:$F$561,Data!$A$2:$A$561,$A8,Data!$D$2:$D$561,F$3)</f>
        <v>270</v>
      </c>
      <c r="G8" s="12">
        <f>SUMIFS(Data!$F$2:$F$561,Data!$A$2:$A$561,$A8,Data!$D$2:$D$561,G$3)</f>
        <v>23</v>
      </c>
      <c r="H8" s="12">
        <f>SUMIFS(Data!$F$2:$F$561,Data!$A$2:$A$561,$A8,Data!$D$2:$D$561,H$3)</f>
        <v>107</v>
      </c>
      <c r="I8" s="12">
        <f>SUMIFS(Data!$F$2:$F$561,Data!$A$2:$A$561,$A8,Data!$D$2:$D$561,I$3)</f>
        <v>123.7</v>
      </c>
      <c r="J8" s="12">
        <f t="shared" si="0"/>
        <v>1506.3</v>
      </c>
      <c r="K8" s="5"/>
      <c r="L8" s="5" t="str">
        <f>Lookup!A6</f>
        <v>N05B</v>
      </c>
      <c r="M8" s="5" t="str">
        <f>VLOOKUP(L8,Lookup!$A$2:$C$9,2,FALSE())</f>
        <v>Anxiolytics</v>
      </c>
      <c r="N8" s="12">
        <f>SUMIFS(Data!$F$2:$F$561,Data!$D$2:$D$561,L8)</f>
        <v>18645.730000000003</v>
      </c>
      <c r="O8" s="13">
        <f t="shared" si="1"/>
        <v>0.14613151839006286</v>
      </c>
      <c r="P8" s="5"/>
      <c r="Q8" s="8">
        <v>5</v>
      </c>
      <c r="R8" s="12">
        <f t="shared" si="2"/>
        <v>8204.6500000000015</v>
      </c>
      <c r="S8" s="5" t="str">
        <f t="shared" si="3"/>
        <v>M01AE</v>
      </c>
      <c r="T8" s="5" t="str">
        <f t="shared" si="4"/>
        <v>Anti-inflammatory (propionic acid)</v>
      </c>
      <c r="U8" s="13">
        <f t="shared" si="5"/>
        <v>6.4302012437111838E-2</v>
      </c>
      <c r="V8" s="5"/>
      <c r="W8" s="5">
        <f>W7+1</f>
        <v>2018</v>
      </c>
      <c r="X8" s="12">
        <f>SUMIFS(Data!$F$2:$F$561,Data!$B$2:$B$561,W8,Data!$C$2:$C$561,"&lt;=9")</f>
        <v>16433.010000000002</v>
      </c>
      <c r="Y8" s="13">
        <f>X8/X7-1</f>
        <v>0.19455635048827569</v>
      </c>
    </row>
    <row r="9" spans="1:25" x14ac:dyDescent="0.25">
      <c r="A9" s="14">
        <f t="shared" si="6"/>
        <v>41820</v>
      </c>
      <c r="B9" s="12">
        <f>SUMIFS(Data!$F$2:$F$561,Data!$A$2:$A$561,$A9,Data!$D$2:$D$561,B$3)</f>
        <v>112.07</v>
      </c>
      <c r="C9" s="12">
        <f>SUMIFS(Data!$F$2:$F$561,Data!$A$2:$A$561,$A9,Data!$D$2:$D$561,C$3)</f>
        <v>94.71</v>
      </c>
      <c r="D9" s="12">
        <f>SUMIFS(Data!$F$2:$F$561,Data!$A$2:$A$561,$A9,Data!$D$2:$D$561,D$3)</f>
        <v>122.9</v>
      </c>
      <c r="E9" s="12">
        <f>SUMIFS(Data!$F$2:$F$561,Data!$A$2:$A$561,$A9,Data!$D$2:$D$561,E$3)</f>
        <v>548.23</v>
      </c>
      <c r="F9" s="12">
        <f>SUMIFS(Data!$F$2:$F$561,Data!$A$2:$A$561,$A9,Data!$D$2:$D$561,F$3)</f>
        <v>323</v>
      </c>
      <c r="G9" s="12">
        <f>SUMIFS(Data!$F$2:$F$561,Data!$A$2:$A$561,$A9,Data!$D$2:$D$561,G$3)</f>
        <v>23</v>
      </c>
      <c r="H9" s="12">
        <f>SUMIFS(Data!$F$2:$F$561,Data!$A$2:$A$561,$A9,Data!$D$2:$D$561,H$3)</f>
        <v>57</v>
      </c>
      <c r="I9" s="12">
        <f>SUMIFS(Data!$F$2:$F$561,Data!$A$2:$A$561,$A9,Data!$D$2:$D$561,I$3)</f>
        <v>109.3</v>
      </c>
      <c r="J9" s="12">
        <f t="shared" si="0"/>
        <v>1390.2099999999998</v>
      </c>
      <c r="K9" s="5"/>
      <c r="L9" s="5" t="str">
        <f>Lookup!A7</f>
        <v>N05C</v>
      </c>
      <c r="M9" s="5" t="str">
        <f>VLOOKUP(L9,Lookup!$A$2:$C$9,2,FALSE())</f>
        <v>Hypnotics &amp; sedatives</v>
      </c>
      <c r="N9" s="12">
        <f>SUMIFS(Data!$F$2:$F$561,Data!$D$2:$D$561,L9)</f>
        <v>1249.96</v>
      </c>
      <c r="O9" s="13">
        <f t="shared" si="1"/>
        <v>9.7962671736018352E-3</v>
      </c>
      <c r="P9" s="5"/>
      <c r="Q9" s="8">
        <v>6</v>
      </c>
      <c r="R9" s="12">
        <f t="shared" si="2"/>
        <v>8172.2199999999975</v>
      </c>
      <c r="S9" s="5" t="str">
        <f t="shared" si="3"/>
        <v>N02BA</v>
      </c>
      <c r="T9" s="5" t="str">
        <f t="shared" si="4"/>
        <v>Analgesic (salicylic acid)</v>
      </c>
      <c r="U9" s="13">
        <f t="shared" si="5"/>
        <v>6.4047849948360241E-2</v>
      </c>
      <c r="V9" s="5"/>
      <c r="W9" s="5">
        <f>W8+1</f>
        <v>2019</v>
      </c>
      <c r="X9" s="12">
        <f>SUMIFS(Data!$F$2:$F$561,Data!$B$2:$B$561,W9,Data!$C$2:$C$561,"&lt;=9")</f>
        <v>16547.37</v>
      </c>
      <c r="Y9" s="13">
        <f>X9/X8-1</f>
        <v>6.9591632938821313E-3</v>
      </c>
    </row>
    <row r="10" spans="1:25" x14ac:dyDescent="0.25">
      <c r="A10" s="14">
        <f t="shared" si="6"/>
        <v>41851</v>
      </c>
      <c r="B10" s="12">
        <f>SUMIFS(Data!$F$2:$F$561,Data!$A$2:$A$561,$A10,Data!$D$2:$D$561,B$3)</f>
        <v>117.06</v>
      </c>
      <c r="C10" s="12">
        <f>SUMIFS(Data!$F$2:$F$561,Data!$A$2:$A$561,$A10,Data!$D$2:$D$561,C$3)</f>
        <v>95.01</v>
      </c>
      <c r="D10" s="12">
        <f>SUMIFS(Data!$F$2:$F$561,Data!$A$2:$A$561,$A10,Data!$D$2:$D$561,D$3)</f>
        <v>129.30000000000001</v>
      </c>
      <c r="E10" s="12">
        <f>SUMIFS(Data!$F$2:$F$561,Data!$A$2:$A$561,$A10,Data!$D$2:$D$561,E$3)</f>
        <v>491.9</v>
      </c>
      <c r="F10" s="12">
        <f>SUMIFS(Data!$F$2:$F$561,Data!$A$2:$A$561,$A10,Data!$D$2:$D$561,F$3)</f>
        <v>348</v>
      </c>
      <c r="G10" s="12">
        <f>SUMIFS(Data!$F$2:$F$561,Data!$A$2:$A$561,$A10,Data!$D$2:$D$561,G$3)</f>
        <v>21</v>
      </c>
      <c r="H10" s="12">
        <f>SUMIFS(Data!$F$2:$F$561,Data!$A$2:$A$561,$A10,Data!$D$2:$D$561,H$3)</f>
        <v>61</v>
      </c>
      <c r="I10" s="12">
        <f>SUMIFS(Data!$F$2:$F$561,Data!$A$2:$A$561,$A10,Data!$D$2:$D$561,I$3)</f>
        <v>69.099999999999994</v>
      </c>
      <c r="J10" s="12">
        <f t="shared" si="0"/>
        <v>1332.37</v>
      </c>
      <c r="K10" s="5"/>
      <c r="L10" s="5" t="str">
        <f>Lookup!A8</f>
        <v>R03</v>
      </c>
      <c r="M10" s="5" t="str">
        <f>VLOOKUP(L10,Lookup!$A$2:$C$9,2,FALSE())</f>
        <v>Airway disease drugs</v>
      </c>
      <c r="N10" s="12">
        <f>SUMIFS(Data!$F$2:$F$561,Data!$D$2:$D$561,L10)</f>
        <v>11608.83</v>
      </c>
      <c r="O10" s="13">
        <f t="shared" si="1"/>
        <v>9.0981471609430861E-2</v>
      </c>
      <c r="P10" s="5"/>
      <c r="Q10" s="8">
        <v>7</v>
      </c>
      <c r="R10" s="12">
        <f t="shared" si="2"/>
        <v>6107.8200000000006</v>
      </c>
      <c r="S10" s="5" t="str">
        <f t="shared" si="3"/>
        <v>R06</v>
      </c>
      <c r="T10" s="5" t="str">
        <f t="shared" si="4"/>
        <v>Antihistamines</v>
      </c>
      <c r="U10" s="13">
        <f t="shared" si="5"/>
        <v>4.7868601049848608E-2</v>
      </c>
      <c r="V10" s="5"/>
      <c r="W10" s="5"/>
      <c r="X10" s="5"/>
      <c r="Y10" s="5"/>
    </row>
    <row r="11" spans="1:25" x14ac:dyDescent="0.25">
      <c r="A11" s="14">
        <f t="shared" si="6"/>
        <v>41882</v>
      </c>
      <c r="B11" s="12">
        <f>SUMIFS(Data!$F$2:$F$561,Data!$A$2:$A$561,$A11,Data!$D$2:$D$561,B$3)</f>
        <v>124.79</v>
      </c>
      <c r="C11" s="12">
        <f>SUMIFS(Data!$F$2:$F$561,Data!$A$2:$A$561,$A11,Data!$D$2:$D$561,C$3)</f>
        <v>99.78</v>
      </c>
      <c r="D11" s="12">
        <f>SUMIFS(Data!$F$2:$F$561,Data!$A$2:$A$561,$A11,Data!$D$2:$D$561,D$3)</f>
        <v>123.8</v>
      </c>
      <c r="E11" s="12">
        <f>SUMIFS(Data!$F$2:$F$561,Data!$A$2:$A$561,$A11,Data!$D$2:$D$561,E$3)</f>
        <v>547.35</v>
      </c>
      <c r="F11" s="12">
        <f>SUMIFS(Data!$F$2:$F$561,Data!$A$2:$A$561,$A11,Data!$D$2:$D$561,F$3)</f>
        <v>420</v>
      </c>
      <c r="G11" s="12">
        <f>SUMIFS(Data!$F$2:$F$561,Data!$A$2:$A$561,$A11,Data!$D$2:$D$561,G$3)</f>
        <v>29</v>
      </c>
      <c r="H11" s="12">
        <f>SUMIFS(Data!$F$2:$F$561,Data!$A$2:$A$561,$A11,Data!$D$2:$D$561,H$3)</f>
        <v>37</v>
      </c>
      <c r="I11" s="12">
        <f>SUMIFS(Data!$F$2:$F$561,Data!$A$2:$A$561,$A11,Data!$D$2:$D$561,I$3)</f>
        <v>70.8</v>
      </c>
      <c r="J11" s="12">
        <f t="shared" si="0"/>
        <v>1452.52</v>
      </c>
      <c r="K11" s="5"/>
      <c r="L11" s="5" t="str">
        <f>Lookup!A9</f>
        <v>R06</v>
      </c>
      <c r="M11" s="5" t="str">
        <f>VLOOKUP(L11,Lookup!$A$2:$C$9,2,FALSE())</f>
        <v>Antihistamines</v>
      </c>
      <c r="N11" s="12">
        <f>SUMIFS(Data!$F$2:$F$561,Data!$D$2:$D$561,L11)</f>
        <v>6107.8200000000006</v>
      </c>
      <c r="O11" s="13">
        <f t="shared" si="1"/>
        <v>4.7868601049848608E-2</v>
      </c>
      <c r="P11" s="5"/>
      <c r="Q11" s="8">
        <v>8</v>
      </c>
      <c r="R11" s="12">
        <f t="shared" si="2"/>
        <v>1249.96</v>
      </c>
      <c r="S11" s="5" t="str">
        <f t="shared" si="3"/>
        <v>N05C</v>
      </c>
      <c r="T11" s="5" t="str">
        <f t="shared" si="4"/>
        <v>Hypnotics &amp; sedatives</v>
      </c>
      <c r="U11" s="13">
        <f t="shared" si="5"/>
        <v>9.7962671736018352E-3</v>
      </c>
      <c r="V11" s="5"/>
      <c r="W11" s="5"/>
      <c r="X11" s="5"/>
      <c r="Y11" s="5"/>
    </row>
    <row r="12" spans="1:25" x14ac:dyDescent="0.25">
      <c r="A12" s="14">
        <f t="shared" si="6"/>
        <v>41912</v>
      </c>
      <c r="B12" s="12">
        <f>SUMIFS(Data!$F$2:$F$561,Data!$A$2:$A$561,$A12,Data!$D$2:$D$561,B$3)</f>
        <v>108.78</v>
      </c>
      <c r="C12" s="12">
        <f>SUMIFS(Data!$F$2:$F$561,Data!$A$2:$A$561,$A12,Data!$D$2:$D$561,C$3)</f>
        <v>109.09</v>
      </c>
      <c r="D12" s="12">
        <f>SUMIFS(Data!$F$2:$F$561,Data!$A$2:$A$561,$A12,Data!$D$2:$D$561,D$3)</f>
        <v>112.1</v>
      </c>
      <c r="E12" s="12">
        <f>SUMIFS(Data!$F$2:$F$561,Data!$A$2:$A$561,$A12,Data!$D$2:$D$561,E$3)</f>
        <v>887.82</v>
      </c>
      <c r="F12" s="12">
        <f>SUMIFS(Data!$F$2:$F$561,Data!$A$2:$A$561,$A12,Data!$D$2:$D$561,F$3)</f>
        <v>399</v>
      </c>
      <c r="G12" s="12">
        <f>SUMIFS(Data!$F$2:$F$561,Data!$A$2:$A$561,$A12,Data!$D$2:$D$561,G$3)</f>
        <v>14</v>
      </c>
      <c r="H12" s="12">
        <f>SUMIFS(Data!$F$2:$F$561,Data!$A$2:$A$561,$A12,Data!$D$2:$D$561,H$3)</f>
        <v>115</v>
      </c>
      <c r="I12" s="12">
        <f>SUMIFS(Data!$F$2:$F$561,Data!$A$2:$A$561,$A12,Data!$D$2:$D$561,I$3)</f>
        <v>58.8</v>
      </c>
      <c r="J12" s="12">
        <f t="shared" si="0"/>
        <v>1804.59</v>
      </c>
      <c r="K12" s="5"/>
      <c r="L12" s="5" t="s">
        <v>35</v>
      </c>
      <c r="M12" s="5"/>
      <c r="N12" s="12">
        <f>SUM(N4:N11)</f>
        <v>127595.54000000001</v>
      </c>
      <c r="O12" s="13">
        <f>SUM(O4:O11)</f>
        <v>1</v>
      </c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x14ac:dyDescent="0.25">
      <c r="A13" s="14">
        <f t="shared" si="6"/>
        <v>41943</v>
      </c>
      <c r="B13" s="12">
        <f>SUMIFS(Data!$F$2:$F$561,Data!$A$2:$A$561,$A13,Data!$D$2:$D$561,B$3)</f>
        <v>101.19</v>
      </c>
      <c r="C13" s="12">
        <f>SUMIFS(Data!$F$2:$F$561,Data!$A$2:$A$561,$A13,Data!$D$2:$D$561,C$3)</f>
        <v>108.75</v>
      </c>
      <c r="D13" s="12">
        <f>SUMIFS(Data!$F$2:$F$561,Data!$A$2:$A$561,$A13,Data!$D$2:$D$561,D$3)</f>
        <v>140.54</v>
      </c>
      <c r="E13" s="12">
        <f>SUMIFS(Data!$F$2:$F$561,Data!$A$2:$A$561,$A13,Data!$D$2:$D$561,E$3)</f>
        <v>1073.1400000000001</v>
      </c>
      <c r="F13" s="12">
        <f>SUMIFS(Data!$F$2:$F$561,Data!$A$2:$A$561,$A13,Data!$D$2:$D$561,F$3)</f>
        <v>432.06</v>
      </c>
      <c r="G13" s="12">
        <f>SUMIFS(Data!$F$2:$F$561,Data!$A$2:$A$561,$A13,Data!$D$2:$D$561,G$3)</f>
        <v>19.62</v>
      </c>
      <c r="H13" s="12">
        <f>SUMIFS(Data!$F$2:$F$561,Data!$A$2:$A$561,$A13,Data!$D$2:$D$561,H$3)</f>
        <v>160</v>
      </c>
      <c r="I13" s="12">
        <f>SUMIFS(Data!$F$2:$F$561,Data!$A$2:$A$561,$A13,Data!$D$2:$D$561,I$3)</f>
        <v>46.69</v>
      </c>
      <c r="J13" s="12">
        <f t="shared" si="0"/>
        <v>2081.9899999999998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x14ac:dyDescent="0.25">
      <c r="A14" s="14">
        <f t="shared" si="6"/>
        <v>41973</v>
      </c>
      <c r="B14" s="12">
        <f>SUMIFS(Data!$F$2:$F$561,Data!$A$2:$A$561,$A14,Data!$D$2:$D$561,B$3)</f>
        <v>138.08000000000001</v>
      </c>
      <c r="C14" s="12">
        <f>SUMIFS(Data!$F$2:$F$561,Data!$A$2:$A$561,$A14,Data!$D$2:$D$561,C$3)</f>
        <v>100.86</v>
      </c>
      <c r="D14" s="12">
        <f>SUMIFS(Data!$F$2:$F$561,Data!$A$2:$A$561,$A14,Data!$D$2:$D$561,D$3)</f>
        <v>142.69999999999999</v>
      </c>
      <c r="E14" s="12">
        <f>SUMIFS(Data!$F$2:$F$561,Data!$A$2:$A$561,$A14,Data!$D$2:$D$561,E$3)</f>
        <v>723.8</v>
      </c>
      <c r="F14" s="12">
        <f>SUMIFS(Data!$F$2:$F$561,Data!$A$2:$A$561,$A14,Data!$D$2:$D$561,F$3)</f>
        <v>489</v>
      </c>
      <c r="G14" s="12">
        <f>SUMIFS(Data!$F$2:$F$561,Data!$A$2:$A$561,$A14,Data!$D$2:$D$561,G$3)</f>
        <v>19</v>
      </c>
      <c r="H14" s="12">
        <f>SUMIFS(Data!$F$2:$F$561,Data!$A$2:$A$561,$A14,Data!$D$2:$D$561,H$3)</f>
        <v>112</v>
      </c>
      <c r="I14" s="12">
        <f>SUMIFS(Data!$F$2:$F$561,Data!$A$2:$A$561,$A14,Data!$D$2:$D$561,I$3)</f>
        <v>45.2</v>
      </c>
      <c r="J14" s="12">
        <f t="shared" si="0"/>
        <v>1770.64</v>
      </c>
    </row>
    <row r="15" spans="1:25" x14ac:dyDescent="0.25">
      <c r="A15" s="14">
        <f t="shared" si="6"/>
        <v>42004</v>
      </c>
      <c r="B15" s="12">
        <f>SUMIFS(Data!$F$2:$F$561,Data!$A$2:$A$561,$A15,Data!$D$2:$D$561,B$3)</f>
        <v>131.9</v>
      </c>
      <c r="C15" s="12">
        <f>SUMIFS(Data!$F$2:$F$561,Data!$A$2:$A$561,$A15,Data!$D$2:$D$561,C$3)</f>
        <v>121.4</v>
      </c>
      <c r="D15" s="12">
        <f>SUMIFS(Data!$F$2:$F$561,Data!$A$2:$A$561,$A15,Data!$D$2:$D$561,D$3)</f>
        <v>111.12</v>
      </c>
      <c r="E15" s="12">
        <f>SUMIFS(Data!$F$2:$F$561,Data!$A$2:$A$561,$A15,Data!$D$2:$D$561,E$3)</f>
        <v>1015.66</v>
      </c>
      <c r="F15" s="12">
        <f>SUMIFS(Data!$F$2:$F$561,Data!$A$2:$A$561,$A15,Data!$D$2:$D$561,F$3)</f>
        <v>492</v>
      </c>
      <c r="G15" s="12">
        <f>SUMIFS(Data!$F$2:$F$561,Data!$A$2:$A$561,$A15,Data!$D$2:$D$561,G$3)</f>
        <v>25</v>
      </c>
      <c r="H15" s="12">
        <f>SUMIFS(Data!$F$2:$F$561,Data!$A$2:$A$561,$A15,Data!$D$2:$D$561,H$3)</f>
        <v>163</v>
      </c>
      <c r="I15" s="12">
        <f>SUMIFS(Data!$F$2:$F$561,Data!$A$2:$A$561,$A15,Data!$D$2:$D$561,I$3)</f>
        <v>33.4</v>
      </c>
      <c r="J15" s="12">
        <f t="shared" si="0"/>
        <v>2093.48</v>
      </c>
    </row>
    <row r="16" spans="1:25" x14ac:dyDescent="0.25">
      <c r="A16" s="14">
        <f t="shared" si="6"/>
        <v>42035</v>
      </c>
      <c r="B16" s="12">
        <f>SUMIFS(Data!$F$2:$F$561,Data!$A$2:$A$561,$A16,Data!$D$2:$D$561,B$3)</f>
        <v>135.91</v>
      </c>
      <c r="C16" s="12">
        <f>SUMIFS(Data!$F$2:$F$561,Data!$A$2:$A$561,$A16,Data!$D$2:$D$561,C$3)</f>
        <v>130.35</v>
      </c>
      <c r="D16" s="12">
        <f>SUMIFS(Data!$F$2:$F$561,Data!$A$2:$A$561,$A16,Data!$D$2:$D$561,D$3)</f>
        <v>141</v>
      </c>
      <c r="E16" s="12">
        <f>SUMIFS(Data!$F$2:$F$561,Data!$A$2:$A$561,$A16,Data!$D$2:$D$561,E$3)</f>
        <v>1044.24</v>
      </c>
      <c r="F16" s="12">
        <f>SUMIFS(Data!$F$2:$F$561,Data!$A$2:$A$561,$A16,Data!$D$2:$D$561,F$3)</f>
        <v>463</v>
      </c>
      <c r="G16" s="12">
        <f>SUMIFS(Data!$F$2:$F$561,Data!$A$2:$A$561,$A16,Data!$D$2:$D$561,G$3)</f>
        <v>24</v>
      </c>
      <c r="H16" s="12">
        <f>SUMIFS(Data!$F$2:$F$561,Data!$A$2:$A$561,$A16,Data!$D$2:$D$561,H$3)</f>
        <v>177.25</v>
      </c>
      <c r="I16" s="12">
        <f>SUMIFS(Data!$F$2:$F$561,Data!$A$2:$A$561,$A16,Data!$D$2:$D$561,I$3)</f>
        <v>42</v>
      </c>
      <c r="J16" s="12">
        <f t="shared" si="0"/>
        <v>2157.75</v>
      </c>
    </row>
    <row r="17" spans="1:10" x14ac:dyDescent="0.25">
      <c r="A17" s="14">
        <f t="shared" si="6"/>
        <v>42063</v>
      </c>
      <c r="B17" s="12">
        <f>SUMIFS(Data!$F$2:$F$561,Data!$A$2:$A$561,$A17,Data!$D$2:$D$561,B$3)</f>
        <v>115.71</v>
      </c>
      <c r="C17" s="12">
        <f>SUMIFS(Data!$F$2:$F$561,Data!$A$2:$A$561,$A17,Data!$D$2:$D$561,C$3)</f>
        <v>123.74</v>
      </c>
      <c r="D17" s="12">
        <f>SUMIFS(Data!$F$2:$F$561,Data!$A$2:$A$561,$A17,Data!$D$2:$D$561,D$3)</f>
        <v>131.83000000000001</v>
      </c>
      <c r="E17" s="12">
        <f>SUMIFS(Data!$F$2:$F$561,Data!$A$2:$A$561,$A17,Data!$D$2:$D$561,E$3)</f>
        <v>953.25</v>
      </c>
      <c r="F17" s="12">
        <f>SUMIFS(Data!$F$2:$F$561,Data!$A$2:$A$561,$A17,Data!$D$2:$D$561,F$3)</f>
        <v>243</v>
      </c>
      <c r="G17" s="12">
        <f>SUMIFS(Data!$F$2:$F$561,Data!$A$2:$A$561,$A17,Data!$D$2:$D$561,G$3)</f>
        <v>9</v>
      </c>
      <c r="H17" s="12">
        <f>SUMIFS(Data!$F$2:$F$561,Data!$A$2:$A$561,$A17,Data!$D$2:$D$561,H$3)</f>
        <v>208</v>
      </c>
      <c r="I17" s="12">
        <f>SUMIFS(Data!$F$2:$F$561,Data!$A$2:$A$561,$A17,Data!$D$2:$D$561,I$3)</f>
        <v>47</v>
      </c>
      <c r="J17" s="12">
        <f t="shared" si="0"/>
        <v>1831.53</v>
      </c>
    </row>
    <row r="18" spans="1:10" x14ac:dyDescent="0.25">
      <c r="A18" s="14">
        <f t="shared" si="6"/>
        <v>42094</v>
      </c>
      <c r="B18" s="12">
        <f>SUMIFS(Data!$F$2:$F$561,Data!$A$2:$A$561,$A18,Data!$D$2:$D$561,B$3)</f>
        <v>156.04</v>
      </c>
      <c r="C18" s="12">
        <f>SUMIFS(Data!$F$2:$F$561,Data!$A$2:$A$561,$A18,Data!$D$2:$D$561,C$3)</f>
        <v>129.38999999999999</v>
      </c>
      <c r="D18" s="12">
        <f>SUMIFS(Data!$F$2:$F$561,Data!$A$2:$A$561,$A18,Data!$D$2:$D$561,D$3)</f>
        <v>133.80000000000001</v>
      </c>
      <c r="E18" s="12">
        <f>SUMIFS(Data!$F$2:$F$561,Data!$A$2:$A$561,$A18,Data!$D$2:$D$561,E$3)</f>
        <v>1084.8499999999999</v>
      </c>
      <c r="F18" s="12">
        <f>SUMIFS(Data!$F$2:$F$561,Data!$A$2:$A$561,$A18,Data!$D$2:$D$561,F$3)</f>
        <v>208</v>
      </c>
      <c r="G18" s="12">
        <f>SUMIFS(Data!$F$2:$F$561,Data!$A$2:$A$561,$A18,Data!$D$2:$D$561,G$3)</f>
        <v>13</v>
      </c>
      <c r="H18" s="12">
        <f>SUMIFS(Data!$F$2:$F$561,Data!$A$2:$A$561,$A18,Data!$D$2:$D$561,H$3)</f>
        <v>170</v>
      </c>
      <c r="I18" s="12">
        <f>SUMIFS(Data!$F$2:$F$561,Data!$A$2:$A$561,$A18,Data!$D$2:$D$561,I$3)</f>
        <v>54</v>
      </c>
      <c r="J18" s="12">
        <f t="shared" si="0"/>
        <v>1949.08</v>
      </c>
    </row>
    <row r="19" spans="1:10" x14ac:dyDescent="0.25">
      <c r="A19" s="14">
        <f t="shared" si="6"/>
        <v>42124</v>
      </c>
      <c r="B19" s="12">
        <f>SUMIFS(Data!$F$2:$F$561,Data!$A$2:$A$561,$A19,Data!$D$2:$D$561,B$3)</f>
        <v>154.5</v>
      </c>
      <c r="C19" s="12">
        <f>SUMIFS(Data!$F$2:$F$561,Data!$A$2:$A$561,$A19,Data!$D$2:$D$561,C$3)</f>
        <v>101.11</v>
      </c>
      <c r="D19" s="12">
        <f>SUMIFS(Data!$F$2:$F$561,Data!$A$2:$A$561,$A19,Data!$D$2:$D$561,D$3)</f>
        <v>122.1</v>
      </c>
      <c r="E19" s="12">
        <f>SUMIFS(Data!$F$2:$F$561,Data!$A$2:$A$561,$A19,Data!$D$2:$D$561,E$3)</f>
        <v>940.17</v>
      </c>
      <c r="F19" s="12">
        <f>SUMIFS(Data!$F$2:$F$561,Data!$A$2:$A$561,$A19,Data!$D$2:$D$561,F$3)</f>
        <v>192</v>
      </c>
      <c r="G19" s="12">
        <f>SUMIFS(Data!$F$2:$F$561,Data!$A$2:$A$561,$A19,Data!$D$2:$D$561,G$3)</f>
        <v>5</v>
      </c>
      <c r="H19" s="12">
        <f>SUMIFS(Data!$F$2:$F$561,Data!$A$2:$A$561,$A19,Data!$D$2:$D$561,H$3)</f>
        <v>97</v>
      </c>
      <c r="I19" s="12">
        <f>SUMIFS(Data!$F$2:$F$561,Data!$A$2:$A$561,$A19,Data!$D$2:$D$561,I$3)</f>
        <v>112</v>
      </c>
      <c r="J19" s="12">
        <f t="shared" si="0"/>
        <v>1723.88</v>
      </c>
    </row>
    <row r="20" spans="1:10" x14ac:dyDescent="0.25">
      <c r="A20" s="14">
        <f t="shared" si="6"/>
        <v>42155</v>
      </c>
      <c r="B20" s="12">
        <f>SUMIFS(Data!$F$2:$F$561,Data!$A$2:$A$561,$A20,Data!$D$2:$D$561,B$3)</f>
        <v>160.02000000000001</v>
      </c>
      <c r="C20" s="12">
        <f>SUMIFS(Data!$F$2:$F$561,Data!$A$2:$A$561,$A20,Data!$D$2:$D$561,C$3)</f>
        <v>119.12</v>
      </c>
      <c r="D20" s="12">
        <f>SUMIFS(Data!$F$2:$F$561,Data!$A$2:$A$561,$A20,Data!$D$2:$D$561,D$3)</f>
        <v>136.04</v>
      </c>
      <c r="E20" s="12">
        <f>SUMIFS(Data!$F$2:$F$561,Data!$A$2:$A$561,$A20,Data!$D$2:$D$561,E$3)</f>
        <v>765.9</v>
      </c>
      <c r="F20" s="12">
        <f>SUMIFS(Data!$F$2:$F$561,Data!$A$2:$A$561,$A20,Data!$D$2:$D$561,F$3)</f>
        <v>194</v>
      </c>
      <c r="G20" s="12">
        <f>SUMIFS(Data!$F$2:$F$561,Data!$A$2:$A$561,$A20,Data!$D$2:$D$561,G$3)</f>
        <v>10</v>
      </c>
      <c r="H20" s="12">
        <f>SUMIFS(Data!$F$2:$F$561,Data!$A$2:$A$561,$A20,Data!$D$2:$D$561,H$3)</f>
        <v>100</v>
      </c>
      <c r="I20" s="12">
        <f>SUMIFS(Data!$F$2:$F$561,Data!$A$2:$A$561,$A20,Data!$D$2:$D$561,I$3)</f>
        <v>159.5</v>
      </c>
      <c r="J20" s="12">
        <f t="shared" si="0"/>
        <v>1644.58</v>
      </c>
    </row>
    <row r="21" spans="1:10" x14ac:dyDescent="0.25">
      <c r="A21" s="14">
        <f t="shared" si="6"/>
        <v>42185</v>
      </c>
      <c r="B21" s="12">
        <f>SUMIFS(Data!$F$2:$F$561,Data!$A$2:$A$561,$A21,Data!$D$2:$D$561,B$3)</f>
        <v>151.87</v>
      </c>
      <c r="C21" s="12">
        <f>SUMIFS(Data!$F$2:$F$561,Data!$A$2:$A$561,$A21,Data!$D$2:$D$561,C$3)</f>
        <v>113.69</v>
      </c>
      <c r="D21" s="12">
        <f>SUMIFS(Data!$F$2:$F$561,Data!$A$2:$A$561,$A21,Data!$D$2:$D$561,D$3)</f>
        <v>145.46</v>
      </c>
      <c r="E21" s="12">
        <f>SUMIFS(Data!$F$2:$F$561,Data!$A$2:$A$561,$A21,Data!$D$2:$D$561,E$3)</f>
        <v>715.41</v>
      </c>
      <c r="F21" s="12">
        <f>SUMIFS(Data!$F$2:$F$561,Data!$A$2:$A$561,$A21,Data!$D$2:$D$561,F$3)</f>
        <v>217</v>
      </c>
      <c r="G21" s="12">
        <f>SUMIFS(Data!$F$2:$F$561,Data!$A$2:$A$561,$A21,Data!$D$2:$D$561,G$3)</f>
        <v>12</v>
      </c>
      <c r="H21" s="12">
        <f>SUMIFS(Data!$F$2:$F$561,Data!$A$2:$A$561,$A21,Data!$D$2:$D$561,H$3)</f>
        <v>193</v>
      </c>
      <c r="I21" s="12">
        <f>SUMIFS(Data!$F$2:$F$561,Data!$A$2:$A$561,$A21,Data!$D$2:$D$561,I$3)</f>
        <v>125.8</v>
      </c>
      <c r="J21" s="12">
        <f t="shared" si="0"/>
        <v>1674.2299999999998</v>
      </c>
    </row>
    <row r="22" spans="1:10" x14ac:dyDescent="0.25">
      <c r="A22" s="14">
        <f t="shared" si="6"/>
        <v>42216</v>
      </c>
      <c r="B22" s="12">
        <f>SUMIFS(Data!$F$2:$F$561,Data!$A$2:$A$561,$A22,Data!$D$2:$D$561,B$3)</f>
        <v>175.61</v>
      </c>
      <c r="C22" s="12">
        <f>SUMIFS(Data!$F$2:$F$561,Data!$A$2:$A$561,$A22,Data!$D$2:$D$561,C$3)</f>
        <v>113.81</v>
      </c>
      <c r="D22" s="12">
        <f>SUMIFS(Data!$F$2:$F$561,Data!$A$2:$A$561,$A22,Data!$D$2:$D$561,D$3)</f>
        <v>125.5</v>
      </c>
      <c r="E22" s="12">
        <f>SUMIFS(Data!$F$2:$F$561,Data!$A$2:$A$561,$A22,Data!$D$2:$D$561,E$3)</f>
        <v>708.83</v>
      </c>
      <c r="F22" s="12">
        <f>SUMIFS(Data!$F$2:$F$561,Data!$A$2:$A$561,$A22,Data!$D$2:$D$561,F$3)</f>
        <v>203</v>
      </c>
      <c r="G22" s="12">
        <f>SUMIFS(Data!$F$2:$F$561,Data!$A$2:$A$561,$A22,Data!$D$2:$D$561,G$3)</f>
        <v>6</v>
      </c>
      <c r="H22" s="12">
        <f>SUMIFS(Data!$F$2:$F$561,Data!$A$2:$A$561,$A22,Data!$D$2:$D$561,H$3)</f>
        <v>60</v>
      </c>
      <c r="I22" s="12">
        <f>SUMIFS(Data!$F$2:$F$561,Data!$A$2:$A$561,$A22,Data!$D$2:$D$561,I$3)</f>
        <v>130.30000000000001</v>
      </c>
      <c r="J22" s="12">
        <f t="shared" si="0"/>
        <v>1523.05</v>
      </c>
    </row>
    <row r="23" spans="1:10" x14ac:dyDescent="0.25">
      <c r="A23" s="14">
        <f t="shared" si="6"/>
        <v>42247</v>
      </c>
      <c r="B23" s="12">
        <f>SUMIFS(Data!$F$2:$F$561,Data!$A$2:$A$561,$A23,Data!$D$2:$D$561,B$3)</f>
        <v>181.69</v>
      </c>
      <c r="C23" s="12">
        <f>SUMIFS(Data!$F$2:$F$561,Data!$A$2:$A$561,$A23,Data!$D$2:$D$561,C$3)</f>
        <v>144.52000000000001</v>
      </c>
      <c r="D23" s="12">
        <f>SUMIFS(Data!$F$2:$F$561,Data!$A$2:$A$561,$A23,Data!$D$2:$D$561,D$3)</f>
        <v>133.4</v>
      </c>
      <c r="E23" s="12">
        <f>SUMIFS(Data!$F$2:$F$561,Data!$A$2:$A$561,$A23,Data!$D$2:$D$561,E$3)</f>
        <v>790.79</v>
      </c>
      <c r="F23" s="12">
        <f>SUMIFS(Data!$F$2:$F$561,Data!$A$2:$A$561,$A23,Data!$D$2:$D$561,F$3)</f>
        <v>265.5</v>
      </c>
      <c r="G23" s="12">
        <f>SUMIFS(Data!$F$2:$F$561,Data!$A$2:$A$561,$A23,Data!$D$2:$D$561,G$3)</f>
        <v>15</v>
      </c>
      <c r="H23" s="12">
        <f>SUMIFS(Data!$F$2:$F$561,Data!$A$2:$A$561,$A23,Data!$D$2:$D$561,H$3)</f>
        <v>45</v>
      </c>
      <c r="I23" s="12">
        <f>SUMIFS(Data!$F$2:$F$561,Data!$A$2:$A$561,$A23,Data!$D$2:$D$561,I$3)</f>
        <v>83.7</v>
      </c>
      <c r="J23" s="12">
        <f t="shared" si="0"/>
        <v>1659.6000000000001</v>
      </c>
    </row>
    <row r="24" spans="1:10" x14ac:dyDescent="0.25">
      <c r="A24" s="14">
        <f t="shared" si="6"/>
        <v>42277</v>
      </c>
      <c r="B24" s="12">
        <f>SUMIFS(Data!$F$2:$F$561,Data!$A$2:$A$561,$A24,Data!$D$2:$D$561,B$3)</f>
        <v>166.22</v>
      </c>
      <c r="C24" s="12">
        <f>SUMIFS(Data!$F$2:$F$561,Data!$A$2:$A$561,$A24,Data!$D$2:$D$561,C$3)</f>
        <v>134.12</v>
      </c>
      <c r="D24" s="12">
        <f>SUMIFS(Data!$F$2:$F$561,Data!$A$2:$A$561,$A24,Data!$D$2:$D$561,D$3)</f>
        <v>110.4</v>
      </c>
      <c r="E24" s="12">
        <f>SUMIFS(Data!$F$2:$F$561,Data!$A$2:$A$561,$A24,Data!$D$2:$D$561,E$3)</f>
        <v>852.12</v>
      </c>
      <c r="F24" s="12">
        <f>SUMIFS(Data!$F$2:$F$561,Data!$A$2:$A$561,$A24,Data!$D$2:$D$561,F$3)</f>
        <v>243.5</v>
      </c>
      <c r="G24" s="12">
        <f>SUMIFS(Data!$F$2:$F$561,Data!$A$2:$A$561,$A24,Data!$D$2:$D$561,G$3)</f>
        <v>11</v>
      </c>
      <c r="H24" s="12">
        <f>SUMIFS(Data!$F$2:$F$561,Data!$A$2:$A$561,$A24,Data!$D$2:$D$561,H$3)</f>
        <v>91</v>
      </c>
      <c r="I24" s="12">
        <f>SUMIFS(Data!$F$2:$F$561,Data!$A$2:$A$561,$A24,Data!$D$2:$D$561,I$3)</f>
        <v>71</v>
      </c>
      <c r="J24" s="12">
        <f t="shared" si="0"/>
        <v>1679.3600000000001</v>
      </c>
    </row>
    <row r="25" spans="1:10" x14ac:dyDescent="0.25">
      <c r="A25" s="14">
        <f t="shared" si="6"/>
        <v>42308</v>
      </c>
      <c r="B25" s="12">
        <f>SUMIFS(Data!$F$2:$F$561,Data!$A$2:$A$561,$A25,Data!$D$2:$D$561,B$3)</f>
        <v>195.81</v>
      </c>
      <c r="C25" s="12">
        <f>SUMIFS(Data!$F$2:$F$561,Data!$A$2:$A$561,$A25,Data!$D$2:$D$561,C$3)</f>
        <v>127.23</v>
      </c>
      <c r="D25" s="12">
        <f>SUMIFS(Data!$F$2:$F$561,Data!$A$2:$A$561,$A25,Data!$D$2:$D$561,D$3)</f>
        <v>146.19999999999999</v>
      </c>
      <c r="E25" s="12">
        <f>SUMIFS(Data!$F$2:$F$561,Data!$A$2:$A$561,$A25,Data!$D$2:$D$561,E$3)</f>
        <v>1574.34</v>
      </c>
      <c r="F25" s="12">
        <f>SUMIFS(Data!$F$2:$F$561,Data!$A$2:$A$561,$A25,Data!$D$2:$D$561,F$3)</f>
        <v>222</v>
      </c>
      <c r="G25" s="12">
        <f>SUMIFS(Data!$F$2:$F$561,Data!$A$2:$A$561,$A25,Data!$D$2:$D$561,G$3)</f>
        <v>8</v>
      </c>
      <c r="H25" s="12">
        <f>SUMIFS(Data!$F$2:$F$561,Data!$A$2:$A$561,$A25,Data!$D$2:$D$561,H$3)</f>
        <v>184</v>
      </c>
      <c r="I25" s="12">
        <f>SUMIFS(Data!$F$2:$F$561,Data!$A$2:$A$561,$A25,Data!$D$2:$D$561,I$3)</f>
        <v>72</v>
      </c>
      <c r="J25" s="12">
        <f t="shared" si="0"/>
        <v>2529.58</v>
      </c>
    </row>
    <row r="26" spans="1:10" x14ac:dyDescent="0.25">
      <c r="A26" s="14">
        <f t="shared" si="6"/>
        <v>42338</v>
      </c>
      <c r="B26" s="12">
        <f>SUMIFS(Data!$F$2:$F$561,Data!$A$2:$A$561,$A26,Data!$D$2:$D$561,B$3)</f>
        <v>142.78</v>
      </c>
      <c r="C26" s="12">
        <f>SUMIFS(Data!$F$2:$F$561,Data!$A$2:$A$561,$A26,Data!$D$2:$D$561,C$3)</f>
        <v>128.22999999999999</v>
      </c>
      <c r="D26" s="12">
        <f>SUMIFS(Data!$F$2:$F$561,Data!$A$2:$A$561,$A26,Data!$D$2:$D$561,D$3)</f>
        <v>145.9</v>
      </c>
      <c r="E26" s="12">
        <f>SUMIFS(Data!$F$2:$F$561,Data!$A$2:$A$561,$A26,Data!$D$2:$D$561,E$3)</f>
        <v>1234.97</v>
      </c>
      <c r="F26" s="12">
        <f>SUMIFS(Data!$F$2:$F$561,Data!$A$2:$A$561,$A26,Data!$D$2:$D$561,F$3)</f>
        <v>228</v>
      </c>
      <c r="G26" s="12">
        <f>SUMIFS(Data!$F$2:$F$561,Data!$A$2:$A$561,$A26,Data!$D$2:$D$561,G$3)</f>
        <v>18</v>
      </c>
      <c r="H26" s="12">
        <f>SUMIFS(Data!$F$2:$F$561,Data!$A$2:$A$561,$A26,Data!$D$2:$D$561,H$3)</f>
        <v>165</v>
      </c>
      <c r="I26" s="12">
        <f>SUMIFS(Data!$F$2:$F$561,Data!$A$2:$A$561,$A26,Data!$D$2:$D$561,I$3)</f>
        <v>44</v>
      </c>
      <c r="J26" s="12">
        <f t="shared" si="0"/>
        <v>2106.88</v>
      </c>
    </row>
    <row r="27" spans="1:10" x14ac:dyDescent="0.25">
      <c r="A27" s="14">
        <f t="shared" si="6"/>
        <v>42369</v>
      </c>
      <c r="B27" s="12">
        <f>SUMIFS(Data!$F$2:$F$561,Data!$A$2:$A$561,$A27,Data!$D$2:$D$561,B$3)</f>
        <v>159.46</v>
      </c>
      <c r="C27" s="12">
        <f>SUMIFS(Data!$F$2:$F$561,Data!$A$2:$A$561,$A27,Data!$D$2:$D$561,C$3)</f>
        <v>131.29</v>
      </c>
      <c r="D27" s="12">
        <f>SUMIFS(Data!$F$2:$F$561,Data!$A$2:$A$561,$A27,Data!$D$2:$D$561,D$3)</f>
        <v>137</v>
      </c>
      <c r="E27" s="12">
        <f>SUMIFS(Data!$F$2:$F$561,Data!$A$2:$A$561,$A27,Data!$D$2:$D$561,E$3)</f>
        <v>1258.3499999999999</v>
      </c>
      <c r="F27" s="12">
        <f>SUMIFS(Data!$F$2:$F$561,Data!$A$2:$A$561,$A27,Data!$D$2:$D$561,F$3)</f>
        <v>286</v>
      </c>
      <c r="G27" s="12">
        <f>SUMIFS(Data!$F$2:$F$561,Data!$A$2:$A$561,$A27,Data!$D$2:$D$561,G$3)</f>
        <v>28</v>
      </c>
      <c r="H27" s="12">
        <f>SUMIFS(Data!$F$2:$F$561,Data!$A$2:$A$561,$A27,Data!$D$2:$D$561,H$3)</f>
        <v>231</v>
      </c>
      <c r="I27" s="12">
        <f>SUMIFS(Data!$F$2:$F$561,Data!$A$2:$A$561,$A27,Data!$D$2:$D$561,I$3)</f>
        <v>41.73</v>
      </c>
      <c r="J27" s="12">
        <f t="shared" si="0"/>
        <v>2272.83</v>
      </c>
    </row>
    <row r="28" spans="1:10" x14ac:dyDescent="0.25">
      <c r="A28" s="14">
        <f t="shared" si="6"/>
        <v>42400</v>
      </c>
      <c r="B28" s="12">
        <f>SUMIFS(Data!$F$2:$F$561,Data!$A$2:$A$561,$A28,Data!$D$2:$D$561,B$3)</f>
        <v>171.65</v>
      </c>
      <c r="C28" s="12">
        <f>SUMIFS(Data!$F$2:$F$561,Data!$A$2:$A$561,$A28,Data!$D$2:$D$561,C$3)</f>
        <v>128.4</v>
      </c>
      <c r="D28" s="12">
        <f>SUMIFS(Data!$F$2:$F$561,Data!$A$2:$A$561,$A28,Data!$D$2:$D$561,D$3)</f>
        <v>172.5</v>
      </c>
      <c r="E28" s="12">
        <f>SUMIFS(Data!$F$2:$F$561,Data!$A$2:$A$561,$A28,Data!$D$2:$D$561,E$3)</f>
        <v>1476.32</v>
      </c>
      <c r="F28" s="12">
        <f>SUMIFS(Data!$F$2:$F$561,Data!$A$2:$A$561,$A28,Data!$D$2:$D$561,F$3)</f>
        <v>248</v>
      </c>
      <c r="G28" s="12">
        <f>SUMIFS(Data!$F$2:$F$561,Data!$A$2:$A$561,$A28,Data!$D$2:$D$561,G$3)</f>
        <v>24</v>
      </c>
      <c r="H28" s="12">
        <f>SUMIFS(Data!$F$2:$F$561,Data!$A$2:$A$561,$A28,Data!$D$2:$D$561,H$3)</f>
        <v>174</v>
      </c>
      <c r="I28" s="12">
        <f>SUMIFS(Data!$F$2:$F$561,Data!$A$2:$A$561,$A28,Data!$D$2:$D$561,I$3)</f>
        <v>56.5</v>
      </c>
      <c r="J28" s="12">
        <f t="shared" si="0"/>
        <v>2451.37</v>
      </c>
    </row>
    <row r="29" spans="1:10" x14ac:dyDescent="0.25">
      <c r="A29" s="14">
        <f t="shared" si="6"/>
        <v>42429</v>
      </c>
      <c r="B29" s="12">
        <f>SUMIFS(Data!$F$2:$F$561,Data!$A$2:$A$561,$A29,Data!$D$2:$D$561,B$3)</f>
        <v>173.81</v>
      </c>
      <c r="C29" s="12">
        <f>SUMIFS(Data!$F$2:$F$561,Data!$A$2:$A$561,$A29,Data!$D$2:$D$561,C$3)</f>
        <v>137.53</v>
      </c>
      <c r="D29" s="12">
        <f>SUMIFS(Data!$F$2:$F$561,Data!$A$2:$A$561,$A29,Data!$D$2:$D$561,D$3)</f>
        <v>134.19999999999999</v>
      </c>
      <c r="E29" s="12">
        <f>SUMIFS(Data!$F$2:$F$561,Data!$A$2:$A$561,$A29,Data!$D$2:$D$561,E$3)</f>
        <v>1224.8599999999999</v>
      </c>
      <c r="F29" s="12">
        <f>SUMIFS(Data!$F$2:$F$561,Data!$A$2:$A$561,$A29,Data!$D$2:$D$561,F$3)</f>
        <v>239</v>
      </c>
      <c r="G29" s="12">
        <f>SUMIFS(Data!$F$2:$F$561,Data!$A$2:$A$561,$A29,Data!$D$2:$D$561,G$3)</f>
        <v>20</v>
      </c>
      <c r="H29" s="12">
        <f>SUMIFS(Data!$F$2:$F$561,Data!$A$2:$A$561,$A29,Data!$D$2:$D$561,H$3)</f>
        <v>245</v>
      </c>
      <c r="I29" s="12">
        <f>SUMIFS(Data!$F$2:$F$561,Data!$A$2:$A$561,$A29,Data!$D$2:$D$561,I$3)</f>
        <v>58</v>
      </c>
      <c r="J29" s="12">
        <f t="shared" si="0"/>
        <v>2232.3999999999996</v>
      </c>
    </row>
    <row r="30" spans="1:10" x14ac:dyDescent="0.25">
      <c r="A30" s="14">
        <f t="shared" si="6"/>
        <v>42460</v>
      </c>
      <c r="B30" s="12">
        <f>SUMIFS(Data!$F$2:$F$561,Data!$A$2:$A$561,$A30,Data!$D$2:$D$561,B$3)</f>
        <v>156.63999999999999</v>
      </c>
      <c r="C30" s="12">
        <f>SUMIFS(Data!$F$2:$F$561,Data!$A$2:$A$561,$A30,Data!$D$2:$D$561,C$3)</f>
        <v>165.59</v>
      </c>
      <c r="D30" s="12">
        <f>SUMIFS(Data!$F$2:$F$561,Data!$A$2:$A$561,$A30,Data!$D$2:$D$561,D$3)</f>
        <v>148.4</v>
      </c>
      <c r="E30" s="12">
        <f>SUMIFS(Data!$F$2:$F$561,Data!$A$2:$A$561,$A30,Data!$D$2:$D$561,E$3)</f>
        <v>1150.7</v>
      </c>
      <c r="F30" s="12">
        <f>SUMIFS(Data!$F$2:$F$561,Data!$A$2:$A$561,$A30,Data!$D$2:$D$561,F$3)</f>
        <v>250</v>
      </c>
      <c r="G30" s="12">
        <f>SUMIFS(Data!$F$2:$F$561,Data!$A$2:$A$561,$A30,Data!$D$2:$D$561,G$3)</f>
        <v>13</v>
      </c>
      <c r="H30" s="12">
        <f>SUMIFS(Data!$F$2:$F$561,Data!$A$2:$A$561,$A30,Data!$D$2:$D$561,H$3)</f>
        <v>253</v>
      </c>
      <c r="I30" s="12">
        <f>SUMIFS(Data!$F$2:$F$561,Data!$A$2:$A$561,$A30,Data!$D$2:$D$561,I$3)</f>
        <v>97.84</v>
      </c>
      <c r="J30" s="12">
        <f t="shared" si="0"/>
        <v>2235.17</v>
      </c>
    </row>
    <row r="31" spans="1:10" x14ac:dyDescent="0.25">
      <c r="A31" s="14">
        <f t="shared" si="6"/>
        <v>42490</v>
      </c>
      <c r="B31" s="12">
        <f>SUMIFS(Data!$F$2:$F$561,Data!$A$2:$A$561,$A31,Data!$D$2:$D$561,B$3)</f>
        <v>166.61</v>
      </c>
      <c r="C31" s="12">
        <f>SUMIFS(Data!$F$2:$F$561,Data!$A$2:$A$561,$A31,Data!$D$2:$D$561,C$3)</f>
        <v>146.53</v>
      </c>
      <c r="D31" s="12">
        <f>SUMIFS(Data!$F$2:$F$561,Data!$A$2:$A$561,$A31,Data!$D$2:$D$561,D$3)</f>
        <v>147.69999999999999</v>
      </c>
      <c r="E31" s="12">
        <f>SUMIFS(Data!$F$2:$F$561,Data!$A$2:$A$561,$A31,Data!$D$2:$D$561,E$3)</f>
        <v>998.34</v>
      </c>
      <c r="F31" s="12">
        <f>SUMIFS(Data!$F$2:$F$561,Data!$A$2:$A$561,$A31,Data!$D$2:$D$561,F$3)</f>
        <v>292</v>
      </c>
      <c r="G31" s="12">
        <f>SUMIFS(Data!$F$2:$F$561,Data!$A$2:$A$561,$A31,Data!$D$2:$D$561,G$3)</f>
        <v>18</v>
      </c>
      <c r="H31" s="12">
        <f>SUMIFS(Data!$F$2:$F$561,Data!$A$2:$A$561,$A31,Data!$D$2:$D$561,H$3)</f>
        <v>216</v>
      </c>
      <c r="I31" s="12">
        <f>SUMIFS(Data!$F$2:$F$561,Data!$A$2:$A$561,$A31,Data!$D$2:$D$561,I$3)</f>
        <v>162.4</v>
      </c>
      <c r="J31" s="12">
        <f t="shared" si="0"/>
        <v>2147.58</v>
      </c>
    </row>
    <row r="32" spans="1:10" x14ac:dyDescent="0.25">
      <c r="A32" s="14">
        <f t="shared" si="6"/>
        <v>42521</v>
      </c>
      <c r="B32" s="12">
        <f>SUMIFS(Data!$F$2:$F$561,Data!$A$2:$A$561,$A32,Data!$D$2:$D$561,B$3)</f>
        <v>167.36</v>
      </c>
      <c r="C32" s="12">
        <f>SUMIFS(Data!$F$2:$F$561,Data!$A$2:$A$561,$A32,Data!$D$2:$D$561,C$3)</f>
        <v>120.86</v>
      </c>
      <c r="D32" s="12">
        <f>SUMIFS(Data!$F$2:$F$561,Data!$A$2:$A$561,$A32,Data!$D$2:$D$561,D$3)</f>
        <v>130.55000000000001</v>
      </c>
      <c r="E32" s="12">
        <f>SUMIFS(Data!$F$2:$F$561,Data!$A$2:$A$561,$A32,Data!$D$2:$D$561,E$3)</f>
        <v>997.15</v>
      </c>
      <c r="F32" s="12">
        <f>SUMIFS(Data!$F$2:$F$561,Data!$A$2:$A$561,$A32,Data!$D$2:$D$561,F$3)</f>
        <v>255</v>
      </c>
      <c r="G32" s="12">
        <f>SUMIFS(Data!$F$2:$F$561,Data!$A$2:$A$561,$A32,Data!$D$2:$D$561,G$3)</f>
        <v>18</v>
      </c>
      <c r="H32" s="12">
        <f>SUMIFS(Data!$F$2:$F$561,Data!$A$2:$A$561,$A32,Data!$D$2:$D$561,H$3)</f>
        <v>131</v>
      </c>
      <c r="I32" s="12">
        <f>SUMIFS(Data!$F$2:$F$561,Data!$A$2:$A$561,$A32,Data!$D$2:$D$561,I$3)</f>
        <v>137.1</v>
      </c>
      <c r="J32" s="12">
        <f t="shared" si="0"/>
        <v>1957.02</v>
      </c>
    </row>
    <row r="33" spans="1:10" x14ac:dyDescent="0.25">
      <c r="A33" s="14">
        <f t="shared" si="6"/>
        <v>42551</v>
      </c>
      <c r="B33" s="12">
        <f>SUMIFS(Data!$F$2:$F$561,Data!$A$2:$A$561,$A33,Data!$D$2:$D$561,B$3)</f>
        <v>169.67</v>
      </c>
      <c r="C33" s="12">
        <f>SUMIFS(Data!$F$2:$F$561,Data!$A$2:$A$561,$A33,Data!$D$2:$D$561,C$3)</f>
        <v>114.96</v>
      </c>
      <c r="D33" s="12">
        <f>SUMIFS(Data!$F$2:$F$561,Data!$A$2:$A$561,$A33,Data!$D$2:$D$561,D$3)</f>
        <v>117.75</v>
      </c>
      <c r="E33" s="12">
        <f>SUMIFS(Data!$F$2:$F$561,Data!$A$2:$A$561,$A33,Data!$D$2:$D$561,E$3)</f>
        <v>760.05</v>
      </c>
      <c r="F33" s="12">
        <f>SUMIFS(Data!$F$2:$F$561,Data!$A$2:$A$561,$A33,Data!$D$2:$D$561,F$3)</f>
        <v>280.5</v>
      </c>
      <c r="G33" s="12">
        <f>SUMIFS(Data!$F$2:$F$561,Data!$A$2:$A$561,$A33,Data!$D$2:$D$561,G$3)</f>
        <v>20</v>
      </c>
      <c r="H33" s="12">
        <f>SUMIFS(Data!$F$2:$F$561,Data!$A$2:$A$561,$A33,Data!$D$2:$D$561,H$3)</f>
        <v>127</v>
      </c>
      <c r="I33" s="12">
        <f>SUMIFS(Data!$F$2:$F$561,Data!$A$2:$A$561,$A33,Data!$D$2:$D$561,I$3)</f>
        <v>134.80000000000001</v>
      </c>
      <c r="J33" s="12">
        <f t="shared" si="0"/>
        <v>1724.7299999999998</v>
      </c>
    </row>
    <row r="34" spans="1:10" x14ac:dyDescent="0.25">
      <c r="A34" s="14">
        <f t="shared" si="6"/>
        <v>42582</v>
      </c>
      <c r="B34" s="12">
        <f>SUMIFS(Data!$F$2:$F$561,Data!$A$2:$A$561,$A34,Data!$D$2:$D$561,B$3)</f>
        <v>194.53</v>
      </c>
      <c r="C34" s="12">
        <f>SUMIFS(Data!$F$2:$F$561,Data!$A$2:$A$561,$A34,Data!$D$2:$D$561,C$3)</f>
        <v>141.02000000000001</v>
      </c>
      <c r="D34" s="12">
        <f>SUMIFS(Data!$F$2:$F$561,Data!$A$2:$A$561,$A34,Data!$D$2:$D$561,D$3)</f>
        <v>137.9</v>
      </c>
      <c r="E34" s="12">
        <f>SUMIFS(Data!$F$2:$F$561,Data!$A$2:$A$561,$A34,Data!$D$2:$D$561,E$3)</f>
        <v>652.36</v>
      </c>
      <c r="F34" s="12">
        <f>SUMIFS(Data!$F$2:$F$561,Data!$A$2:$A$561,$A34,Data!$D$2:$D$561,F$3)</f>
        <v>240</v>
      </c>
      <c r="G34" s="12">
        <f>SUMIFS(Data!$F$2:$F$561,Data!$A$2:$A$561,$A34,Data!$D$2:$D$561,G$3)</f>
        <v>8</v>
      </c>
      <c r="H34" s="12">
        <f>SUMIFS(Data!$F$2:$F$561,Data!$A$2:$A$561,$A34,Data!$D$2:$D$561,H$3)</f>
        <v>109</v>
      </c>
      <c r="I34" s="12">
        <f>SUMIFS(Data!$F$2:$F$561,Data!$A$2:$A$561,$A34,Data!$D$2:$D$561,I$3)</f>
        <v>116.83</v>
      </c>
      <c r="J34" s="12">
        <f t="shared" si="0"/>
        <v>1599.6399999999999</v>
      </c>
    </row>
    <row r="35" spans="1:10" x14ac:dyDescent="0.25">
      <c r="A35" s="14">
        <f t="shared" si="6"/>
        <v>42613</v>
      </c>
      <c r="B35" s="12">
        <f>SUMIFS(Data!$F$2:$F$561,Data!$A$2:$A$561,$A35,Data!$D$2:$D$561,B$3)</f>
        <v>211.13</v>
      </c>
      <c r="C35" s="12">
        <f>SUMIFS(Data!$F$2:$F$561,Data!$A$2:$A$561,$A35,Data!$D$2:$D$561,C$3)</f>
        <v>114.38</v>
      </c>
      <c r="D35" s="12">
        <f>SUMIFS(Data!$F$2:$F$561,Data!$A$2:$A$561,$A35,Data!$D$2:$D$561,D$3)</f>
        <v>132.69999999999999</v>
      </c>
      <c r="E35" s="12">
        <f>SUMIFS(Data!$F$2:$F$561,Data!$A$2:$A$561,$A35,Data!$D$2:$D$561,E$3)</f>
        <v>686.38</v>
      </c>
      <c r="F35" s="12">
        <f>SUMIFS(Data!$F$2:$F$561,Data!$A$2:$A$561,$A35,Data!$D$2:$D$561,F$3)</f>
        <v>275.5</v>
      </c>
      <c r="G35" s="12">
        <f>SUMIFS(Data!$F$2:$F$561,Data!$A$2:$A$561,$A35,Data!$D$2:$D$561,G$3)</f>
        <v>12</v>
      </c>
      <c r="H35" s="12">
        <f>SUMIFS(Data!$F$2:$F$561,Data!$A$2:$A$561,$A35,Data!$D$2:$D$561,H$3)</f>
        <v>116</v>
      </c>
      <c r="I35" s="12">
        <f>SUMIFS(Data!$F$2:$F$561,Data!$A$2:$A$561,$A35,Data!$D$2:$D$561,I$3)</f>
        <v>85.3</v>
      </c>
      <c r="J35" s="12">
        <f t="shared" si="0"/>
        <v>1633.3899999999999</v>
      </c>
    </row>
    <row r="36" spans="1:10" x14ac:dyDescent="0.25">
      <c r="A36" s="14">
        <f t="shared" si="6"/>
        <v>42643</v>
      </c>
      <c r="B36" s="12">
        <f>SUMIFS(Data!$F$2:$F$561,Data!$A$2:$A$561,$A36,Data!$D$2:$D$561,B$3)</f>
        <v>172.96</v>
      </c>
      <c r="C36" s="12">
        <f>SUMIFS(Data!$F$2:$F$561,Data!$A$2:$A$561,$A36,Data!$D$2:$D$561,C$3)</f>
        <v>126.22</v>
      </c>
      <c r="D36" s="12">
        <f>SUMIFS(Data!$F$2:$F$561,Data!$A$2:$A$561,$A36,Data!$D$2:$D$561,D$3)</f>
        <v>116.7</v>
      </c>
      <c r="E36" s="12">
        <f>SUMIFS(Data!$F$2:$F$561,Data!$A$2:$A$561,$A36,Data!$D$2:$D$561,E$3)</f>
        <v>1118.7</v>
      </c>
      <c r="F36" s="12">
        <f>SUMIFS(Data!$F$2:$F$561,Data!$A$2:$A$561,$A36,Data!$D$2:$D$561,F$3)</f>
        <v>307</v>
      </c>
      <c r="G36" s="12">
        <f>SUMIFS(Data!$F$2:$F$561,Data!$A$2:$A$561,$A36,Data!$D$2:$D$561,G$3)</f>
        <v>18</v>
      </c>
      <c r="H36" s="12">
        <f>SUMIFS(Data!$F$2:$F$561,Data!$A$2:$A$561,$A36,Data!$D$2:$D$561,H$3)</f>
        <v>121</v>
      </c>
      <c r="I36" s="12">
        <f>SUMIFS(Data!$F$2:$F$561,Data!$A$2:$A$561,$A36,Data!$D$2:$D$561,I$3)</f>
        <v>69.3</v>
      </c>
      <c r="J36" s="12">
        <f t="shared" ref="J36:J67" si="7">SUM(B36:I36)</f>
        <v>2049.88</v>
      </c>
    </row>
    <row r="37" spans="1:10" x14ac:dyDescent="0.25">
      <c r="A37" s="14">
        <f t="shared" ref="A37:A73" si="8">EOMONTH(A36,1)</f>
        <v>42674</v>
      </c>
      <c r="B37" s="12">
        <f>SUMIFS(Data!$F$2:$F$561,Data!$A$2:$A$561,$A37,Data!$D$2:$D$561,B$3)</f>
        <v>186.76</v>
      </c>
      <c r="C37" s="12">
        <f>SUMIFS(Data!$F$2:$F$561,Data!$A$2:$A$561,$A37,Data!$D$2:$D$561,C$3)</f>
        <v>142.06</v>
      </c>
      <c r="D37" s="12">
        <f>SUMIFS(Data!$F$2:$F$561,Data!$A$2:$A$561,$A37,Data!$D$2:$D$561,D$3)</f>
        <v>160.15</v>
      </c>
      <c r="E37" s="12">
        <f>SUMIFS(Data!$F$2:$F$561,Data!$A$2:$A$561,$A37,Data!$D$2:$D$561,E$3)</f>
        <v>1583.69</v>
      </c>
      <c r="F37" s="12">
        <f>SUMIFS(Data!$F$2:$F$561,Data!$A$2:$A$561,$A37,Data!$D$2:$D$561,F$3)</f>
        <v>290.83</v>
      </c>
      <c r="G37" s="12">
        <f>SUMIFS(Data!$F$2:$F$561,Data!$A$2:$A$561,$A37,Data!$D$2:$D$561,G$3)</f>
        <v>11</v>
      </c>
      <c r="H37" s="12">
        <f>SUMIFS(Data!$F$2:$F$561,Data!$A$2:$A$561,$A37,Data!$D$2:$D$561,H$3)</f>
        <v>220</v>
      </c>
      <c r="I37" s="12">
        <f>SUMIFS(Data!$F$2:$F$561,Data!$A$2:$A$561,$A37,Data!$D$2:$D$561,I$3)</f>
        <v>60.9</v>
      </c>
      <c r="J37" s="12">
        <f t="shared" si="7"/>
        <v>2655.39</v>
      </c>
    </row>
    <row r="38" spans="1:10" x14ac:dyDescent="0.25">
      <c r="A38" s="14">
        <f t="shared" si="8"/>
        <v>42704</v>
      </c>
      <c r="B38" s="12">
        <f>SUMIFS(Data!$F$2:$F$561,Data!$A$2:$A$561,$A38,Data!$D$2:$D$561,B$3)</f>
        <v>166.85</v>
      </c>
      <c r="C38" s="12">
        <f>SUMIFS(Data!$F$2:$F$561,Data!$A$2:$A$561,$A38,Data!$D$2:$D$561,C$3)</f>
        <v>116.85</v>
      </c>
      <c r="D38" s="12">
        <f>SUMIFS(Data!$F$2:$F$561,Data!$A$2:$A$561,$A38,Data!$D$2:$D$561,D$3)</f>
        <v>133.85</v>
      </c>
      <c r="E38" s="12">
        <f>SUMIFS(Data!$F$2:$F$561,Data!$A$2:$A$561,$A38,Data!$D$2:$D$561,E$3)</f>
        <v>1062.69</v>
      </c>
      <c r="F38" s="12">
        <f>SUMIFS(Data!$F$2:$F$561,Data!$A$2:$A$561,$A38,Data!$D$2:$D$561,F$3)</f>
        <v>234.17</v>
      </c>
      <c r="G38" s="12">
        <f>SUMIFS(Data!$F$2:$F$561,Data!$A$2:$A$561,$A38,Data!$D$2:$D$561,G$3)</f>
        <v>27</v>
      </c>
      <c r="H38" s="12">
        <f>SUMIFS(Data!$F$2:$F$561,Data!$A$2:$A$561,$A38,Data!$D$2:$D$561,H$3)</f>
        <v>150</v>
      </c>
      <c r="I38" s="12">
        <f>SUMIFS(Data!$F$2:$F$561,Data!$A$2:$A$561,$A38,Data!$D$2:$D$561,I$3)</f>
        <v>51.2</v>
      </c>
      <c r="J38" s="12">
        <f t="shared" si="7"/>
        <v>1942.6100000000001</v>
      </c>
    </row>
    <row r="39" spans="1:10" x14ac:dyDescent="0.25">
      <c r="A39" s="14">
        <f t="shared" si="8"/>
        <v>42735</v>
      </c>
      <c r="B39" s="12">
        <f>SUMIFS(Data!$F$2:$F$561,Data!$A$2:$A$561,$A39,Data!$D$2:$D$561,B$3)</f>
        <v>169.32</v>
      </c>
      <c r="C39" s="12">
        <f>SUMIFS(Data!$F$2:$F$561,Data!$A$2:$A$561,$A39,Data!$D$2:$D$561,C$3)</f>
        <v>135.06</v>
      </c>
      <c r="D39" s="12">
        <f>SUMIFS(Data!$F$2:$F$561,Data!$A$2:$A$561,$A39,Data!$D$2:$D$561,D$3)</f>
        <v>122.82</v>
      </c>
      <c r="E39" s="12">
        <f>SUMIFS(Data!$F$2:$F$561,Data!$A$2:$A$561,$A39,Data!$D$2:$D$561,E$3)</f>
        <v>1624.34</v>
      </c>
      <c r="F39" s="12">
        <f>SUMIFS(Data!$F$2:$F$561,Data!$A$2:$A$561,$A39,Data!$D$2:$D$561,F$3)</f>
        <v>226.33</v>
      </c>
      <c r="G39" s="12">
        <f>SUMIFS(Data!$F$2:$F$561,Data!$A$2:$A$561,$A39,Data!$D$2:$D$561,G$3)</f>
        <v>18</v>
      </c>
      <c r="H39" s="12">
        <f>SUMIFS(Data!$F$2:$F$561,Data!$A$2:$A$561,$A39,Data!$D$2:$D$561,H$3)</f>
        <v>275</v>
      </c>
      <c r="I39" s="12">
        <f>SUMIFS(Data!$F$2:$F$561,Data!$A$2:$A$561,$A39,Data!$D$2:$D$561,I$3)</f>
        <v>34.9</v>
      </c>
      <c r="J39" s="12">
        <f t="shared" si="7"/>
        <v>2605.77</v>
      </c>
    </row>
    <row r="40" spans="1:10" x14ac:dyDescent="0.25">
      <c r="A40" s="14">
        <f t="shared" si="8"/>
        <v>42766</v>
      </c>
      <c r="B40" s="12">
        <f>SUMIFS(Data!$F$2:$F$561,Data!$A$2:$A$561,$A40,Data!$D$2:$D$561,B$3)</f>
        <v>181.9</v>
      </c>
      <c r="C40" s="12">
        <f>SUMIFS(Data!$F$2:$F$561,Data!$A$2:$A$561,$A40,Data!$D$2:$D$561,C$3)</f>
        <v>150.99</v>
      </c>
      <c r="D40" s="12">
        <f>SUMIFS(Data!$F$2:$F$561,Data!$A$2:$A$561,$A40,Data!$D$2:$D$561,D$3)</f>
        <v>191.27</v>
      </c>
      <c r="E40" s="12">
        <f>SUMIFS(Data!$F$2:$F$561,Data!$A$2:$A$561,$A40,Data!$D$2:$D$561,E$3)</f>
        <v>1439.36</v>
      </c>
      <c r="F40" s="12">
        <f>SUMIFS(Data!$F$2:$F$561,Data!$A$2:$A$561,$A40,Data!$D$2:$D$561,F$3)</f>
        <v>443.75</v>
      </c>
      <c r="G40" s="12">
        <f>SUMIFS(Data!$F$2:$F$561,Data!$A$2:$A$561,$A40,Data!$D$2:$D$561,G$3)</f>
        <v>34.17</v>
      </c>
      <c r="H40" s="12">
        <f>SUMIFS(Data!$F$2:$F$561,Data!$A$2:$A$561,$A40,Data!$D$2:$D$561,H$3)</f>
        <v>196.41</v>
      </c>
      <c r="I40" s="12">
        <f>SUMIFS(Data!$F$2:$F$561,Data!$A$2:$A$561,$A40,Data!$D$2:$D$561,I$3)</f>
        <v>61.75</v>
      </c>
      <c r="J40" s="12">
        <f t="shared" si="7"/>
        <v>2699.6</v>
      </c>
    </row>
    <row r="41" spans="1:10" x14ac:dyDescent="0.25">
      <c r="A41" s="14">
        <f t="shared" si="8"/>
        <v>42794</v>
      </c>
      <c r="B41" s="12">
        <f>SUMIFS(Data!$F$2:$F$561,Data!$A$2:$A$561,$A41,Data!$D$2:$D$561,B$3)</f>
        <v>159.99</v>
      </c>
      <c r="C41" s="12">
        <f>SUMIFS(Data!$F$2:$F$561,Data!$A$2:$A$561,$A41,Data!$D$2:$D$561,C$3)</f>
        <v>125.34</v>
      </c>
      <c r="D41" s="12">
        <f>SUMIFS(Data!$F$2:$F$561,Data!$A$2:$A$561,$A41,Data!$D$2:$D$561,D$3)</f>
        <v>122.88</v>
      </c>
      <c r="E41" s="12">
        <f>SUMIFS(Data!$F$2:$F$561,Data!$A$2:$A$561,$A41,Data!$D$2:$D$561,E$3)</f>
        <v>670.88</v>
      </c>
      <c r="F41" s="12">
        <f>SUMIFS(Data!$F$2:$F$561,Data!$A$2:$A$561,$A41,Data!$D$2:$D$561,F$3)</f>
        <v>178.79</v>
      </c>
      <c r="G41" s="12">
        <f>SUMIFS(Data!$F$2:$F$561,Data!$A$2:$A$561,$A41,Data!$D$2:$D$561,G$3)</f>
        <v>11.17</v>
      </c>
      <c r="H41" s="12">
        <f>SUMIFS(Data!$F$2:$F$561,Data!$A$2:$A$561,$A41,Data!$D$2:$D$561,H$3)</f>
        <v>140.33000000000001</v>
      </c>
      <c r="I41" s="12">
        <f>SUMIFS(Data!$F$2:$F$561,Data!$A$2:$A$561,$A41,Data!$D$2:$D$561,I$3)</f>
        <v>38.1</v>
      </c>
      <c r="J41" s="12">
        <f t="shared" si="7"/>
        <v>1447.48</v>
      </c>
    </row>
    <row r="42" spans="1:10" x14ac:dyDescent="0.25">
      <c r="A42" s="14">
        <f t="shared" si="8"/>
        <v>42825</v>
      </c>
      <c r="B42" s="12">
        <f>SUMIFS(Data!$F$2:$F$561,Data!$A$2:$A$561,$A42,Data!$D$2:$D$561,B$3)</f>
        <v>162.85</v>
      </c>
      <c r="C42" s="12">
        <f>SUMIFS(Data!$F$2:$F$561,Data!$A$2:$A$561,$A42,Data!$D$2:$D$561,C$3)</f>
        <v>111.06</v>
      </c>
      <c r="D42" s="12">
        <f>SUMIFS(Data!$F$2:$F$561,Data!$A$2:$A$561,$A42,Data!$D$2:$D$561,D$3)</f>
        <v>107.35</v>
      </c>
      <c r="E42" s="12">
        <f>SUMIFS(Data!$F$2:$F$561,Data!$A$2:$A$561,$A42,Data!$D$2:$D$561,E$3)</f>
        <v>612.5</v>
      </c>
      <c r="F42" s="12">
        <f>SUMIFS(Data!$F$2:$F$561,Data!$A$2:$A$561,$A42,Data!$D$2:$D$561,F$3)</f>
        <v>165</v>
      </c>
      <c r="G42" s="12">
        <f>SUMIFS(Data!$F$2:$F$561,Data!$A$2:$A$561,$A42,Data!$D$2:$D$561,G$3)</f>
        <v>9</v>
      </c>
      <c r="H42" s="12">
        <f>SUMIFS(Data!$F$2:$F$561,Data!$A$2:$A$561,$A42,Data!$D$2:$D$561,H$3)</f>
        <v>109</v>
      </c>
      <c r="I42" s="12">
        <f>SUMIFS(Data!$F$2:$F$561,Data!$A$2:$A$561,$A42,Data!$D$2:$D$561,I$3)</f>
        <v>100.1</v>
      </c>
      <c r="J42" s="12">
        <f t="shared" si="7"/>
        <v>1376.86</v>
      </c>
    </row>
    <row r="43" spans="1:10" x14ac:dyDescent="0.25">
      <c r="A43" s="14">
        <f t="shared" si="8"/>
        <v>42855</v>
      </c>
      <c r="B43" s="12">
        <f>SUMIFS(Data!$F$2:$F$561,Data!$A$2:$A$561,$A43,Data!$D$2:$D$561,B$3)</f>
        <v>155.61000000000001</v>
      </c>
      <c r="C43" s="12">
        <f>SUMIFS(Data!$F$2:$F$561,Data!$A$2:$A$561,$A43,Data!$D$2:$D$561,C$3)</f>
        <v>101.22</v>
      </c>
      <c r="D43" s="12">
        <f>SUMIFS(Data!$F$2:$F$561,Data!$A$2:$A$561,$A43,Data!$D$2:$D$561,D$3)</f>
        <v>100.5</v>
      </c>
      <c r="E43" s="12">
        <f>SUMIFS(Data!$F$2:$F$561,Data!$A$2:$A$561,$A43,Data!$D$2:$D$561,E$3)</f>
        <v>540.20000000000005</v>
      </c>
      <c r="F43" s="12">
        <f>SUMIFS(Data!$F$2:$F$561,Data!$A$2:$A$561,$A43,Data!$D$2:$D$561,F$3)</f>
        <v>132</v>
      </c>
      <c r="G43" s="12">
        <f>SUMIFS(Data!$F$2:$F$561,Data!$A$2:$A$561,$A43,Data!$D$2:$D$561,G$3)</f>
        <v>9</v>
      </c>
      <c r="H43" s="12">
        <f>SUMIFS(Data!$F$2:$F$561,Data!$A$2:$A$561,$A43,Data!$D$2:$D$561,H$3)</f>
        <v>180.88</v>
      </c>
      <c r="I43" s="12">
        <f>SUMIFS(Data!$F$2:$F$561,Data!$A$2:$A$561,$A43,Data!$D$2:$D$561,I$3)</f>
        <v>122.4</v>
      </c>
      <c r="J43" s="12">
        <f t="shared" si="7"/>
        <v>1341.8100000000004</v>
      </c>
    </row>
    <row r="44" spans="1:10" x14ac:dyDescent="0.25">
      <c r="A44" s="14">
        <f t="shared" si="8"/>
        <v>42886</v>
      </c>
      <c r="B44" s="12">
        <f>SUMIFS(Data!$F$2:$F$561,Data!$A$2:$A$561,$A44,Data!$D$2:$D$561,B$3)</f>
        <v>143.66</v>
      </c>
      <c r="C44" s="12">
        <f>SUMIFS(Data!$F$2:$F$561,Data!$A$2:$A$561,$A44,Data!$D$2:$D$561,C$3)</f>
        <v>118.12</v>
      </c>
      <c r="D44" s="12">
        <f>SUMIFS(Data!$F$2:$F$561,Data!$A$2:$A$561,$A44,Data!$D$2:$D$561,D$3)</f>
        <v>98.95</v>
      </c>
      <c r="E44" s="12">
        <f>SUMIFS(Data!$F$2:$F$561,Data!$A$2:$A$561,$A44,Data!$D$2:$D$561,E$3)</f>
        <v>547.94000000000005</v>
      </c>
      <c r="F44" s="12">
        <f>SUMIFS(Data!$F$2:$F$561,Data!$A$2:$A$561,$A44,Data!$D$2:$D$561,F$3)</f>
        <v>148</v>
      </c>
      <c r="G44" s="12">
        <f>SUMIFS(Data!$F$2:$F$561,Data!$A$2:$A$561,$A44,Data!$D$2:$D$561,G$3)</f>
        <v>23</v>
      </c>
      <c r="H44" s="12">
        <f>SUMIFS(Data!$F$2:$F$561,Data!$A$2:$A$561,$A44,Data!$D$2:$D$561,H$3)</f>
        <v>128</v>
      </c>
      <c r="I44" s="12">
        <f>SUMIFS(Data!$F$2:$F$561,Data!$A$2:$A$561,$A44,Data!$D$2:$D$561,I$3)</f>
        <v>161.81</v>
      </c>
      <c r="J44" s="12">
        <f t="shared" si="7"/>
        <v>1369.48</v>
      </c>
    </row>
    <row r="45" spans="1:10" x14ac:dyDescent="0.25">
      <c r="A45" s="14">
        <f t="shared" si="8"/>
        <v>42916</v>
      </c>
      <c r="B45" s="12">
        <f>SUMIFS(Data!$F$2:$F$561,Data!$A$2:$A$561,$A45,Data!$D$2:$D$561,B$3)</f>
        <v>122.33</v>
      </c>
      <c r="C45" s="12">
        <f>SUMIFS(Data!$F$2:$F$561,Data!$A$2:$A$561,$A45,Data!$D$2:$D$561,C$3)</f>
        <v>103.01</v>
      </c>
      <c r="D45" s="12">
        <f>SUMIFS(Data!$F$2:$F$561,Data!$A$2:$A$561,$A45,Data!$D$2:$D$561,D$3)</f>
        <v>99.6</v>
      </c>
      <c r="E45" s="12">
        <f>SUMIFS(Data!$F$2:$F$561,Data!$A$2:$A$561,$A45,Data!$D$2:$D$561,E$3)</f>
        <v>496.1</v>
      </c>
      <c r="F45" s="12">
        <f>SUMIFS(Data!$F$2:$F$561,Data!$A$2:$A$561,$A45,Data!$D$2:$D$561,F$3)</f>
        <v>163</v>
      </c>
      <c r="G45" s="12">
        <f>SUMIFS(Data!$F$2:$F$561,Data!$A$2:$A$561,$A45,Data!$D$2:$D$561,G$3)</f>
        <v>8</v>
      </c>
      <c r="H45" s="12">
        <f>SUMIFS(Data!$F$2:$F$561,Data!$A$2:$A$561,$A45,Data!$D$2:$D$561,H$3)</f>
        <v>163</v>
      </c>
      <c r="I45" s="12">
        <f>SUMIFS(Data!$F$2:$F$561,Data!$A$2:$A$561,$A45,Data!$D$2:$D$561,I$3)</f>
        <v>151.9</v>
      </c>
      <c r="J45" s="12">
        <f t="shared" si="7"/>
        <v>1306.94</v>
      </c>
    </row>
    <row r="46" spans="1:10" x14ac:dyDescent="0.25">
      <c r="A46" s="14">
        <f t="shared" si="8"/>
        <v>42947</v>
      </c>
      <c r="B46" s="12">
        <f>SUMIFS(Data!$F$2:$F$561,Data!$A$2:$A$561,$A46,Data!$D$2:$D$561,B$3)</f>
        <v>150.29</v>
      </c>
      <c r="C46" s="12">
        <f>SUMIFS(Data!$F$2:$F$561,Data!$A$2:$A$561,$A46,Data!$D$2:$D$561,C$3)</f>
        <v>116.21</v>
      </c>
      <c r="D46" s="12">
        <f>SUMIFS(Data!$F$2:$F$561,Data!$A$2:$A$561,$A46,Data!$D$2:$D$561,D$3)</f>
        <v>75.2</v>
      </c>
      <c r="E46" s="12">
        <f>SUMIFS(Data!$F$2:$F$561,Data!$A$2:$A$561,$A46,Data!$D$2:$D$561,E$3)</f>
        <v>479.35</v>
      </c>
      <c r="F46" s="12">
        <f>SUMIFS(Data!$F$2:$F$561,Data!$A$2:$A$561,$A46,Data!$D$2:$D$561,F$3)</f>
        <v>219</v>
      </c>
      <c r="G46" s="12">
        <f>SUMIFS(Data!$F$2:$F$561,Data!$A$2:$A$561,$A46,Data!$D$2:$D$561,G$3)</f>
        <v>15</v>
      </c>
      <c r="H46" s="12">
        <f>SUMIFS(Data!$F$2:$F$561,Data!$A$2:$A$561,$A46,Data!$D$2:$D$561,H$3)</f>
        <v>115</v>
      </c>
      <c r="I46" s="12">
        <f>SUMIFS(Data!$F$2:$F$561,Data!$A$2:$A$561,$A46,Data!$D$2:$D$561,I$3)</f>
        <v>81.099999999999994</v>
      </c>
      <c r="J46" s="12">
        <f t="shared" si="7"/>
        <v>1251.1499999999999</v>
      </c>
    </row>
    <row r="47" spans="1:10" x14ac:dyDescent="0.25">
      <c r="A47" s="14">
        <f t="shared" si="8"/>
        <v>42978</v>
      </c>
      <c r="B47" s="12">
        <f>SUMIFS(Data!$F$2:$F$561,Data!$A$2:$A$561,$A47,Data!$D$2:$D$561,B$3)</f>
        <v>170.15</v>
      </c>
      <c r="C47" s="12">
        <f>SUMIFS(Data!$F$2:$F$561,Data!$A$2:$A$561,$A47,Data!$D$2:$D$561,C$3)</f>
        <v>112.47</v>
      </c>
      <c r="D47" s="12">
        <f>SUMIFS(Data!$F$2:$F$561,Data!$A$2:$A$561,$A47,Data!$D$2:$D$561,D$3)</f>
        <v>84.4</v>
      </c>
      <c r="E47" s="12">
        <f>SUMIFS(Data!$F$2:$F$561,Data!$A$2:$A$561,$A47,Data!$D$2:$D$561,E$3)</f>
        <v>549.29999999999995</v>
      </c>
      <c r="F47" s="12">
        <f>SUMIFS(Data!$F$2:$F$561,Data!$A$2:$A$561,$A47,Data!$D$2:$D$561,F$3)</f>
        <v>239</v>
      </c>
      <c r="G47" s="12">
        <f>SUMIFS(Data!$F$2:$F$561,Data!$A$2:$A$561,$A47,Data!$D$2:$D$561,G$3)</f>
        <v>12</v>
      </c>
      <c r="H47" s="12">
        <f>SUMIFS(Data!$F$2:$F$561,Data!$A$2:$A$561,$A47,Data!$D$2:$D$561,H$3)</f>
        <v>75</v>
      </c>
      <c r="I47" s="12">
        <f>SUMIFS(Data!$F$2:$F$561,Data!$A$2:$A$561,$A47,Data!$D$2:$D$561,I$3)</f>
        <v>60.1</v>
      </c>
      <c r="J47" s="12">
        <f t="shared" si="7"/>
        <v>1302.4199999999998</v>
      </c>
    </row>
    <row r="48" spans="1:10" x14ac:dyDescent="0.25">
      <c r="A48" s="14">
        <f t="shared" si="8"/>
        <v>43008</v>
      </c>
      <c r="B48" s="12">
        <f>SUMIFS(Data!$F$2:$F$561,Data!$A$2:$A$561,$A48,Data!$D$2:$D$561,B$3)</f>
        <v>138.33000000000001</v>
      </c>
      <c r="C48" s="12">
        <f>SUMIFS(Data!$F$2:$F$561,Data!$A$2:$A$561,$A48,Data!$D$2:$D$561,C$3)</f>
        <v>118.71</v>
      </c>
      <c r="D48" s="12">
        <f>SUMIFS(Data!$F$2:$F$561,Data!$A$2:$A$561,$A48,Data!$D$2:$D$561,D$3)</f>
        <v>88.15</v>
      </c>
      <c r="E48" s="12">
        <f>SUMIFS(Data!$F$2:$F$561,Data!$A$2:$A$561,$A48,Data!$D$2:$D$561,E$3)</f>
        <v>863.75</v>
      </c>
      <c r="F48" s="12">
        <f>SUMIFS(Data!$F$2:$F$561,Data!$A$2:$A$561,$A48,Data!$D$2:$D$561,F$3)</f>
        <v>223</v>
      </c>
      <c r="G48" s="12">
        <f>SUMIFS(Data!$F$2:$F$561,Data!$A$2:$A$561,$A48,Data!$D$2:$D$561,G$3)</f>
        <v>23</v>
      </c>
      <c r="H48" s="12">
        <f>SUMIFS(Data!$F$2:$F$561,Data!$A$2:$A$561,$A48,Data!$D$2:$D$561,H$3)</f>
        <v>139</v>
      </c>
      <c r="I48" s="12">
        <f>SUMIFS(Data!$F$2:$F$561,Data!$A$2:$A$561,$A48,Data!$D$2:$D$561,I$3)</f>
        <v>66.900000000000006</v>
      </c>
      <c r="J48" s="12">
        <f t="shared" si="7"/>
        <v>1660.8400000000001</v>
      </c>
    </row>
    <row r="49" spans="1:10" x14ac:dyDescent="0.25">
      <c r="A49" s="14">
        <f t="shared" si="8"/>
        <v>43039</v>
      </c>
      <c r="B49" s="12">
        <f>SUMIFS(Data!$F$2:$F$561,Data!$A$2:$A$561,$A49,Data!$D$2:$D$561,B$3)</f>
        <v>137.63999999999999</v>
      </c>
      <c r="C49" s="12">
        <f>SUMIFS(Data!$F$2:$F$561,Data!$A$2:$A$561,$A49,Data!$D$2:$D$561,C$3)</f>
        <v>88.74</v>
      </c>
      <c r="D49" s="12">
        <f>SUMIFS(Data!$F$2:$F$561,Data!$A$2:$A$561,$A49,Data!$D$2:$D$561,D$3)</f>
        <v>100.4</v>
      </c>
      <c r="E49" s="12">
        <f>SUMIFS(Data!$F$2:$F$561,Data!$A$2:$A$561,$A49,Data!$D$2:$D$561,E$3)</f>
        <v>1184.3499999999999</v>
      </c>
      <c r="F49" s="12">
        <f>SUMIFS(Data!$F$2:$F$561,Data!$A$2:$A$561,$A49,Data!$D$2:$D$561,F$3)</f>
        <v>226</v>
      </c>
      <c r="G49" s="12">
        <f>SUMIFS(Data!$F$2:$F$561,Data!$A$2:$A$561,$A49,Data!$D$2:$D$561,G$3)</f>
        <v>15</v>
      </c>
      <c r="H49" s="12">
        <f>SUMIFS(Data!$F$2:$F$561,Data!$A$2:$A$561,$A49,Data!$D$2:$D$561,H$3)</f>
        <v>247</v>
      </c>
      <c r="I49" s="12">
        <f>SUMIFS(Data!$F$2:$F$561,Data!$A$2:$A$561,$A49,Data!$D$2:$D$561,I$3)</f>
        <v>51</v>
      </c>
      <c r="J49" s="12">
        <f t="shared" si="7"/>
        <v>2050.13</v>
      </c>
    </row>
    <row r="50" spans="1:10" x14ac:dyDescent="0.25">
      <c r="A50" s="14">
        <f t="shared" si="8"/>
        <v>43069</v>
      </c>
      <c r="B50" s="12">
        <f>SUMIFS(Data!$F$2:$F$561,Data!$A$2:$A$561,$A50,Data!$D$2:$D$561,B$3)</f>
        <v>163.85</v>
      </c>
      <c r="C50" s="12">
        <f>SUMIFS(Data!$F$2:$F$561,Data!$A$2:$A$561,$A50,Data!$D$2:$D$561,C$3)</f>
        <v>119.78</v>
      </c>
      <c r="D50" s="12">
        <f>SUMIFS(Data!$F$2:$F$561,Data!$A$2:$A$561,$A50,Data!$D$2:$D$561,D$3)</f>
        <v>104.45</v>
      </c>
      <c r="E50" s="12">
        <f>SUMIFS(Data!$F$2:$F$561,Data!$A$2:$A$561,$A50,Data!$D$2:$D$561,E$3)</f>
        <v>867.9</v>
      </c>
      <c r="F50" s="12">
        <f>SUMIFS(Data!$F$2:$F$561,Data!$A$2:$A$561,$A50,Data!$D$2:$D$561,F$3)</f>
        <v>192</v>
      </c>
      <c r="G50" s="12">
        <f>SUMIFS(Data!$F$2:$F$561,Data!$A$2:$A$561,$A50,Data!$D$2:$D$561,G$3)</f>
        <v>15</v>
      </c>
      <c r="H50" s="12">
        <f>SUMIFS(Data!$F$2:$F$561,Data!$A$2:$A$561,$A50,Data!$D$2:$D$561,H$3)</f>
        <v>196</v>
      </c>
      <c r="I50" s="12">
        <f>SUMIFS(Data!$F$2:$F$561,Data!$A$2:$A$561,$A50,Data!$D$2:$D$561,I$3)</f>
        <v>46.6</v>
      </c>
      <c r="J50" s="12">
        <f t="shared" si="7"/>
        <v>1705.58</v>
      </c>
    </row>
    <row r="51" spans="1:10" x14ac:dyDescent="0.25">
      <c r="A51" s="14">
        <f t="shared" si="8"/>
        <v>43100</v>
      </c>
      <c r="B51" s="12">
        <f>SUMIFS(Data!$F$2:$F$561,Data!$A$2:$A$561,$A51,Data!$D$2:$D$561,B$3)</f>
        <v>160.01</v>
      </c>
      <c r="C51" s="12">
        <f>SUMIFS(Data!$F$2:$F$561,Data!$A$2:$A$561,$A51,Data!$D$2:$D$561,C$3)</f>
        <v>121.66</v>
      </c>
      <c r="D51" s="12">
        <f>SUMIFS(Data!$F$2:$F$561,Data!$A$2:$A$561,$A51,Data!$D$2:$D$561,D$3)</f>
        <v>115.15</v>
      </c>
      <c r="E51" s="12">
        <f>SUMIFS(Data!$F$2:$F$561,Data!$A$2:$A$561,$A51,Data!$D$2:$D$561,E$3)</f>
        <v>1007.18</v>
      </c>
      <c r="F51" s="12">
        <f>SUMIFS(Data!$F$2:$F$561,Data!$A$2:$A$561,$A51,Data!$D$2:$D$561,F$3)</f>
        <v>226</v>
      </c>
      <c r="G51" s="12">
        <f>SUMIFS(Data!$F$2:$F$561,Data!$A$2:$A$561,$A51,Data!$D$2:$D$561,G$3)</f>
        <v>6</v>
      </c>
      <c r="H51" s="12">
        <f>SUMIFS(Data!$F$2:$F$561,Data!$A$2:$A$561,$A51,Data!$D$2:$D$561,H$3)</f>
        <v>204</v>
      </c>
      <c r="I51" s="12">
        <f>SUMIFS(Data!$F$2:$F$561,Data!$A$2:$A$561,$A51,Data!$D$2:$D$561,I$3)</f>
        <v>47.1</v>
      </c>
      <c r="J51" s="12">
        <f t="shared" si="7"/>
        <v>1887.1</v>
      </c>
    </row>
    <row r="52" spans="1:10" x14ac:dyDescent="0.25">
      <c r="A52" s="14">
        <f t="shared" si="8"/>
        <v>43131</v>
      </c>
      <c r="B52" s="12">
        <f>SUMIFS(Data!$F$2:$F$561,Data!$A$2:$A$561,$A52,Data!$D$2:$D$561,B$3)</f>
        <v>132.28</v>
      </c>
      <c r="C52" s="12">
        <f>SUMIFS(Data!$F$2:$F$561,Data!$A$2:$A$561,$A52,Data!$D$2:$D$561,C$3)</f>
        <v>109.45</v>
      </c>
      <c r="D52" s="12">
        <f>SUMIFS(Data!$F$2:$F$561,Data!$A$2:$A$561,$A52,Data!$D$2:$D$561,D$3)</f>
        <v>101.15</v>
      </c>
      <c r="E52" s="12">
        <f>SUMIFS(Data!$F$2:$F$561,Data!$A$2:$A$561,$A52,Data!$D$2:$D$561,E$3)</f>
        <v>1134.33</v>
      </c>
      <c r="F52" s="12">
        <f>SUMIFS(Data!$F$2:$F$561,Data!$A$2:$A$561,$A52,Data!$D$2:$D$561,F$3)</f>
        <v>229</v>
      </c>
      <c r="G52" s="12">
        <f>SUMIFS(Data!$F$2:$F$561,Data!$A$2:$A$561,$A52,Data!$D$2:$D$561,G$3)</f>
        <v>11</v>
      </c>
      <c r="H52" s="12">
        <f>SUMIFS(Data!$F$2:$F$561,Data!$A$2:$A$561,$A52,Data!$D$2:$D$561,H$3)</f>
        <v>219</v>
      </c>
      <c r="I52" s="12">
        <f>SUMIFS(Data!$F$2:$F$561,Data!$A$2:$A$561,$A52,Data!$D$2:$D$561,I$3)</f>
        <v>49.5</v>
      </c>
      <c r="J52" s="12">
        <f t="shared" si="7"/>
        <v>1985.71</v>
      </c>
    </row>
    <row r="53" spans="1:10" x14ac:dyDescent="0.25">
      <c r="A53" s="14">
        <f t="shared" si="8"/>
        <v>43159</v>
      </c>
      <c r="B53" s="12">
        <f>SUMIFS(Data!$F$2:$F$561,Data!$A$2:$A$561,$A53,Data!$D$2:$D$561,B$3)</f>
        <v>128.36000000000001</v>
      </c>
      <c r="C53" s="12">
        <f>SUMIFS(Data!$F$2:$F$561,Data!$A$2:$A$561,$A53,Data!$D$2:$D$561,C$3)</f>
        <v>132.80000000000001</v>
      </c>
      <c r="D53" s="12">
        <f>SUMIFS(Data!$F$2:$F$561,Data!$A$2:$A$561,$A53,Data!$D$2:$D$561,D$3)</f>
        <v>114.65</v>
      </c>
      <c r="E53" s="12">
        <f>SUMIFS(Data!$F$2:$F$561,Data!$A$2:$A$561,$A53,Data!$D$2:$D$561,E$3)</f>
        <v>1255.3699999999999</v>
      </c>
      <c r="F53" s="12">
        <f>SUMIFS(Data!$F$2:$F$561,Data!$A$2:$A$561,$A53,Data!$D$2:$D$561,F$3)</f>
        <v>268</v>
      </c>
      <c r="G53" s="12">
        <f>SUMIFS(Data!$F$2:$F$561,Data!$A$2:$A$561,$A53,Data!$D$2:$D$561,G$3)</f>
        <v>12</v>
      </c>
      <c r="H53" s="12">
        <f>SUMIFS(Data!$F$2:$F$561,Data!$A$2:$A$561,$A53,Data!$D$2:$D$561,H$3)</f>
        <v>224.25</v>
      </c>
      <c r="I53" s="12">
        <f>SUMIFS(Data!$F$2:$F$561,Data!$A$2:$A$561,$A53,Data!$D$2:$D$561,I$3)</f>
        <v>39.06</v>
      </c>
      <c r="J53" s="12">
        <f t="shared" si="7"/>
        <v>2174.4899999999998</v>
      </c>
    </row>
    <row r="54" spans="1:10" x14ac:dyDescent="0.25">
      <c r="A54" s="14">
        <f t="shared" si="8"/>
        <v>43190</v>
      </c>
      <c r="B54" s="12">
        <f>SUMIFS(Data!$F$2:$F$561,Data!$A$2:$A$561,$A54,Data!$D$2:$D$561,B$3)</f>
        <v>146.16</v>
      </c>
      <c r="C54" s="12">
        <f>SUMIFS(Data!$F$2:$F$561,Data!$A$2:$A$561,$A54,Data!$D$2:$D$561,C$3)</f>
        <v>111.76</v>
      </c>
      <c r="D54" s="12">
        <f>SUMIFS(Data!$F$2:$F$561,Data!$A$2:$A$561,$A54,Data!$D$2:$D$561,D$3)</f>
        <v>122.3</v>
      </c>
      <c r="E54" s="12">
        <f>SUMIFS(Data!$F$2:$F$561,Data!$A$2:$A$561,$A54,Data!$D$2:$D$561,E$3)</f>
        <v>999.12</v>
      </c>
      <c r="F54" s="12">
        <f>SUMIFS(Data!$F$2:$F$561,Data!$A$2:$A$561,$A54,Data!$D$2:$D$561,F$3)</f>
        <v>381</v>
      </c>
      <c r="G54" s="12">
        <f>SUMIFS(Data!$F$2:$F$561,Data!$A$2:$A$561,$A54,Data!$D$2:$D$561,G$3)</f>
        <v>42</v>
      </c>
      <c r="H54" s="12">
        <f>SUMIFS(Data!$F$2:$F$561,Data!$A$2:$A$561,$A54,Data!$D$2:$D$561,H$3)</f>
        <v>269</v>
      </c>
      <c r="I54" s="12">
        <f>SUMIFS(Data!$F$2:$F$561,Data!$A$2:$A$561,$A54,Data!$D$2:$D$561,I$3)</f>
        <v>85.5</v>
      </c>
      <c r="J54" s="12">
        <f t="shared" si="7"/>
        <v>2156.84</v>
      </c>
    </row>
    <row r="55" spans="1:10" x14ac:dyDescent="0.25">
      <c r="A55" s="14">
        <f t="shared" si="8"/>
        <v>43220</v>
      </c>
      <c r="B55" s="12">
        <f>SUMIFS(Data!$F$2:$F$561,Data!$A$2:$A$561,$A55,Data!$D$2:$D$561,B$3)</f>
        <v>170.02</v>
      </c>
      <c r="C55" s="12">
        <f>SUMIFS(Data!$F$2:$F$561,Data!$A$2:$A$561,$A55,Data!$D$2:$D$561,C$3)</f>
        <v>107.72</v>
      </c>
      <c r="D55" s="12">
        <f>SUMIFS(Data!$F$2:$F$561,Data!$A$2:$A$561,$A55,Data!$D$2:$D$561,D$3)</f>
        <v>84.6</v>
      </c>
      <c r="E55" s="12">
        <f>SUMIFS(Data!$F$2:$F$561,Data!$A$2:$A$561,$A55,Data!$D$2:$D$561,E$3)</f>
        <v>803.29</v>
      </c>
      <c r="F55" s="12">
        <f>SUMIFS(Data!$F$2:$F$561,Data!$A$2:$A$561,$A55,Data!$D$2:$D$561,F$3)</f>
        <v>289</v>
      </c>
      <c r="G55" s="12">
        <f>SUMIFS(Data!$F$2:$F$561,Data!$A$2:$A$561,$A55,Data!$D$2:$D$561,G$3)</f>
        <v>14</v>
      </c>
      <c r="H55" s="12">
        <f>SUMIFS(Data!$F$2:$F$561,Data!$A$2:$A$561,$A55,Data!$D$2:$D$561,H$3)</f>
        <v>229</v>
      </c>
      <c r="I55" s="12">
        <f>SUMIFS(Data!$F$2:$F$561,Data!$A$2:$A$561,$A55,Data!$D$2:$D$561,I$3)</f>
        <v>197.1</v>
      </c>
      <c r="J55" s="12">
        <f t="shared" si="7"/>
        <v>1894.73</v>
      </c>
    </row>
    <row r="56" spans="1:10" x14ac:dyDescent="0.25">
      <c r="A56" s="14">
        <f t="shared" si="8"/>
        <v>43251</v>
      </c>
      <c r="B56" s="12">
        <f>SUMIFS(Data!$F$2:$F$561,Data!$A$2:$A$561,$A56,Data!$D$2:$D$561,B$3)</f>
        <v>160.52000000000001</v>
      </c>
      <c r="C56" s="12">
        <f>SUMIFS(Data!$F$2:$F$561,Data!$A$2:$A$561,$A56,Data!$D$2:$D$561,C$3)</f>
        <v>103.52</v>
      </c>
      <c r="D56" s="12">
        <f>SUMIFS(Data!$F$2:$F$561,Data!$A$2:$A$561,$A56,Data!$D$2:$D$561,D$3)</f>
        <v>89.4</v>
      </c>
      <c r="E56" s="12">
        <f>SUMIFS(Data!$F$2:$F$561,Data!$A$2:$A$561,$A56,Data!$D$2:$D$561,E$3)</f>
        <v>644.65</v>
      </c>
      <c r="F56" s="12">
        <f>SUMIFS(Data!$F$2:$F$561,Data!$A$2:$A$561,$A56,Data!$D$2:$D$561,F$3)</f>
        <v>259</v>
      </c>
      <c r="G56" s="12">
        <f>SUMIFS(Data!$F$2:$F$561,Data!$A$2:$A$561,$A56,Data!$D$2:$D$561,G$3)</f>
        <v>13</v>
      </c>
      <c r="H56" s="12">
        <f>SUMIFS(Data!$F$2:$F$561,Data!$A$2:$A$561,$A56,Data!$D$2:$D$561,H$3)</f>
        <v>167</v>
      </c>
      <c r="I56" s="12">
        <f>SUMIFS(Data!$F$2:$F$561,Data!$A$2:$A$561,$A56,Data!$D$2:$D$561,I$3)</f>
        <v>213.04</v>
      </c>
      <c r="J56" s="12">
        <f t="shared" si="7"/>
        <v>1650.13</v>
      </c>
    </row>
    <row r="57" spans="1:10" x14ac:dyDescent="0.25">
      <c r="A57" s="14">
        <f t="shared" si="8"/>
        <v>43281</v>
      </c>
      <c r="B57" s="12">
        <f>SUMIFS(Data!$F$2:$F$561,Data!$A$2:$A$561,$A57,Data!$D$2:$D$561,B$3)</f>
        <v>141.18</v>
      </c>
      <c r="C57" s="12">
        <f>SUMIFS(Data!$F$2:$F$561,Data!$A$2:$A$561,$A57,Data!$D$2:$D$561,C$3)</f>
        <v>114.23</v>
      </c>
      <c r="D57" s="12">
        <f>SUMIFS(Data!$F$2:$F$561,Data!$A$2:$A$561,$A57,Data!$D$2:$D$561,D$3)</f>
        <v>86.8</v>
      </c>
      <c r="E57" s="12">
        <f>SUMIFS(Data!$F$2:$F$561,Data!$A$2:$A$561,$A57,Data!$D$2:$D$561,E$3)</f>
        <v>584.34</v>
      </c>
      <c r="F57" s="12">
        <f>SUMIFS(Data!$F$2:$F$561,Data!$A$2:$A$561,$A57,Data!$D$2:$D$561,F$3)</f>
        <v>248</v>
      </c>
      <c r="G57" s="12">
        <f>SUMIFS(Data!$F$2:$F$561,Data!$A$2:$A$561,$A57,Data!$D$2:$D$561,G$3)</f>
        <v>18</v>
      </c>
      <c r="H57" s="12">
        <f>SUMIFS(Data!$F$2:$F$561,Data!$A$2:$A$561,$A57,Data!$D$2:$D$561,H$3)</f>
        <v>101</v>
      </c>
      <c r="I57" s="12">
        <f>SUMIFS(Data!$F$2:$F$561,Data!$A$2:$A$561,$A57,Data!$D$2:$D$561,I$3)</f>
        <v>120.8</v>
      </c>
      <c r="J57" s="12">
        <f t="shared" si="7"/>
        <v>1414.3500000000001</v>
      </c>
    </row>
    <row r="58" spans="1:10" x14ac:dyDescent="0.25">
      <c r="A58" s="14">
        <f t="shared" si="8"/>
        <v>43312</v>
      </c>
      <c r="B58" s="12">
        <f>SUMIFS(Data!$F$2:$F$561,Data!$A$2:$A$561,$A58,Data!$D$2:$D$561,B$3)</f>
        <v>150.18</v>
      </c>
      <c r="C58" s="12">
        <f>SUMIFS(Data!$F$2:$F$561,Data!$A$2:$A$561,$A58,Data!$D$2:$D$561,C$3)</f>
        <v>132.55000000000001</v>
      </c>
      <c r="D58" s="12">
        <f>SUMIFS(Data!$F$2:$F$561,Data!$A$2:$A$561,$A58,Data!$D$2:$D$561,D$3)</f>
        <v>87.2</v>
      </c>
      <c r="E58" s="12">
        <f>SUMIFS(Data!$F$2:$F$561,Data!$A$2:$A$561,$A58,Data!$D$2:$D$561,E$3)</f>
        <v>679.35</v>
      </c>
      <c r="F58" s="12">
        <f>SUMIFS(Data!$F$2:$F$561,Data!$A$2:$A$561,$A58,Data!$D$2:$D$561,F$3)</f>
        <v>283</v>
      </c>
      <c r="G58" s="12">
        <f>SUMIFS(Data!$F$2:$F$561,Data!$A$2:$A$561,$A58,Data!$D$2:$D$561,G$3)</f>
        <v>19</v>
      </c>
      <c r="H58" s="12">
        <f>SUMIFS(Data!$F$2:$F$561,Data!$A$2:$A$561,$A58,Data!$D$2:$D$561,H$3)</f>
        <v>90</v>
      </c>
      <c r="I58" s="12">
        <f>SUMIFS(Data!$F$2:$F$561,Data!$A$2:$A$561,$A58,Data!$D$2:$D$561,I$3)</f>
        <v>122.2</v>
      </c>
      <c r="J58" s="12">
        <f t="shared" si="7"/>
        <v>1563.48</v>
      </c>
    </row>
    <row r="59" spans="1:10" x14ac:dyDescent="0.25">
      <c r="A59" s="14">
        <f t="shared" si="8"/>
        <v>43343</v>
      </c>
      <c r="B59" s="12">
        <f>SUMIFS(Data!$F$2:$F$561,Data!$A$2:$A$561,$A59,Data!$D$2:$D$561,B$3)</f>
        <v>140</v>
      </c>
      <c r="C59" s="12">
        <f>SUMIFS(Data!$F$2:$F$561,Data!$A$2:$A$561,$A59,Data!$D$2:$D$561,C$3)</f>
        <v>114.72</v>
      </c>
      <c r="D59" s="12">
        <f>SUMIFS(Data!$F$2:$F$561,Data!$A$2:$A$561,$A59,Data!$D$2:$D$561,D$3)</f>
        <v>88.25</v>
      </c>
      <c r="E59" s="12">
        <f>SUMIFS(Data!$F$2:$F$561,Data!$A$2:$A$561,$A59,Data!$D$2:$D$561,E$3)</f>
        <v>733.84</v>
      </c>
      <c r="F59" s="12">
        <f>SUMIFS(Data!$F$2:$F$561,Data!$A$2:$A$561,$A59,Data!$D$2:$D$561,F$3)</f>
        <v>253</v>
      </c>
      <c r="G59" s="12">
        <f>SUMIFS(Data!$F$2:$F$561,Data!$A$2:$A$561,$A59,Data!$D$2:$D$561,G$3)</f>
        <v>20</v>
      </c>
      <c r="H59" s="12">
        <f>SUMIFS(Data!$F$2:$F$561,Data!$A$2:$A$561,$A59,Data!$D$2:$D$561,H$3)</f>
        <v>159</v>
      </c>
      <c r="I59" s="12">
        <f>SUMIFS(Data!$F$2:$F$561,Data!$A$2:$A$561,$A59,Data!$D$2:$D$561,I$3)</f>
        <v>103.1</v>
      </c>
      <c r="J59" s="12">
        <f t="shared" si="7"/>
        <v>1611.9099999999999</v>
      </c>
    </row>
    <row r="60" spans="1:10" x14ac:dyDescent="0.25">
      <c r="A60" s="14">
        <f t="shared" si="8"/>
        <v>43373</v>
      </c>
      <c r="B60" s="12">
        <f>SUMIFS(Data!$F$2:$F$561,Data!$A$2:$A$561,$A60,Data!$D$2:$D$561,B$3)</f>
        <v>153.52000000000001</v>
      </c>
      <c r="C60" s="12">
        <f>SUMIFS(Data!$F$2:$F$561,Data!$A$2:$A$561,$A60,Data!$D$2:$D$561,C$3)</f>
        <v>114.99</v>
      </c>
      <c r="D60" s="12">
        <f>SUMIFS(Data!$F$2:$F$561,Data!$A$2:$A$561,$A60,Data!$D$2:$D$561,D$3)</f>
        <v>86.5</v>
      </c>
      <c r="E60" s="12">
        <f>SUMIFS(Data!$F$2:$F$561,Data!$A$2:$A$561,$A60,Data!$D$2:$D$561,E$3)</f>
        <v>1058.26</v>
      </c>
      <c r="F60" s="12">
        <f>SUMIFS(Data!$F$2:$F$561,Data!$A$2:$A$561,$A60,Data!$D$2:$D$561,F$3)</f>
        <v>263</v>
      </c>
      <c r="G60" s="12">
        <f>SUMIFS(Data!$F$2:$F$561,Data!$A$2:$A$561,$A60,Data!$D$2:$D$561,G$3)</f>
        <v>12</v>
      </c>
      <c r="H60" s="12">
        <f>SUMIFS(Data!$F$2:$F$561,Data!$A$2:$A$561,$A60,Data!$D$2:$D$561,H$3)</f>
        <v>205</v>
      </c>
      <c r="I60" s="12">
        <f>SUMIFS(Data!$F$2:$F$561,Data!$A$2:$A$561,$A60,Data!$D$2:$D$561,I$3)</f>
        <v>88.1</v>
      </c>
      <c r="J60" s="12">
        <f t="shared" si="7"/>
        <v>1981.37</v>
      </c>
    </row>
    <row r="61" spans="1:10" x14ac:dyDescent="0.25">
      <c r="A61" s="14">
        <f t="shared" si="8"/>
        <v>43404</v>
      </c>
      <c r="B61" s="12">
        <f>SUMIFS(Data!$F$2:$F$561,Data!$A$2:$A$561,$A61,Data!$D$2:$D$561,B$3)</f>
        <v>144.71</v>
      </c>
      <c r="C61" s="12">
        <f>SUMIFS(Data!$F$2:$F$561,Data!$A$2:$A$561,$A61,Data!$D$2:$D$561,C$3)</f>
        <v>129.4</v>
      </c>
      <c r="D61" s="12">
        <f>SUMIFS(Data!$F$2:$F$561,Data!$A$2:$A$561,$A61,Data!$D$2:$D$561,D$3)</f>
        <v>76.05</v>
      </c>
      <c r="E61" s="12">
        <f>SUMIFS(Data!$F$2:$F$561,Data!$A$2:$A$561,$A61,Data!$D$2:$D$561,E$3)</f>
        <v>1129.28</v>
      </c>
      <c r="F61" s="12">
        <f>SUMIFS(Data!$F$2:$F$561,Data!$A$2:$A$561,$A61,Data!$D$2:$D$561,F$3)</f>
        <v>287</v>
      </c>
      <c r="G61" s="12">
        <f>SUMIFS(Data!$F$2:$F$561,Data!$A$2:$A$561,$A61,Data!$D$2:$D$561,G$3)</f>
        <v>25</v>
      </c>
      <c r="H61" s="12">
        <f>SUMIFS(Data!$F$2:$F$561,Data!$A$2:$A$561,$A61,Data!$D$2:$D$561,H$3)</f>
        <v>327</v>
      </c>
      <c r="I61" s="12">
        <f>SUMIFS(Data!$F$2:$F$561,Data!$A$2:$A$561,$A61,Data!$D$2:$D$561,I$3)</f>
        <v>76.900000000000006</v>
      </c>
      <c r="J61" s="12">
        <f t="shared" si="7"/>
        <v>2195.34</v>
      </c>
    </row>
    <row r="62" spans="1:10" x14ac:dyDescent="0.25">
      <c r="A62" s="14">
        <f t="shared" si="8"/>
        <v>43434</v>
      </c>
      <c r="B62" s="12">
        <f>SUMIFS(Data!$F$2:$F$561,Data!$A$2:$A$561,$A62,Data!$D$2:$D$561,B$3)</f>
        <v>172.29</v>
      </c>
      <c r="C62" s="12">
        <f>SUMIFS(Data!$F$2:$F$561,Data!$A$2:$A$561,$A62,Data!$D$2:$D$561,C$3)</f>
        <v>105.49</v>
      </c>
      <c r="D62" s="12">
        <f>SUMIFS(Data!$F$2:$F$561,Data!$A$2:$A$561,$A62,Data!$D$2:$D$561,D$3)</f>
        <v>102.15</v>
      </c>
      <c r="E62" s="12">
        <f>SUMIFS(Data!$F$2:$F$561,Data!$A$2:$A$561,$A62,Data!$D$2:$D$561,E$3)</f>
        <v>995.15</v>
      </c>
      <c r="F62" s="12">
        <f>SUMIFS(Data!$F$2:$F$561,Data!$A$2:$A$561,$A62,Data!$D$2:$D$561,F$3)</f>
        <v>252.2</v>
      </c>
      <c r="G62" s="12">
        <f>SUMIFS(Data!$F$2:$F$561,Data!$A$2:$A$561,$A62,Data!$D$2:$D$561,G$3)</f>
        <v>22</v>
      </c>
      <c r="H62" s="12">
        <f>SUMIFS(Data!$F$2:$F$561,Data!$A$2:$A$561,$A62,Data!$D$2:$D$561,H$3)</f>
        <v>311</v>
      </c>
      <c r="I62" s="12">
        <f>SUMIFS(Data!$F$2:$F$561,Data!$A$2:$A$561,$A62,Data!$D$2:$D$561,I$3)</f>
        <v>48.4</v>
      </c>
      <c r="J62" s="12">
        <f t="shared" si="7"/>
        <v>2008.68</v>
      </c>
    </row>
    <row r="63" spans="1:10" x14ac:dyDescent="0.25">
      <c r="A63" s="14">
        <f t="shared" si="8"/>
        <v>43465</v>
      </c>
      <c r="B63" s="12">
        <f>SUMIFS(Data!$F$2:$F$561,Data!$A$2:$A$561,$A63,Data!$D$2:$D$561,B$3)</f>
        <v>147.71</v>
      </c>
      <c r="C63" s="12">
        <f>SUMIFS(Data!$F$2:$F$561,Data!$A$2:$A$561,$A63,Data!$D$2:$D$561,C$3)</f>
        <v>113.02</v>
      </c>
      <c r="D63" s="12">
        <f>SUMIFS(Data!$F$2:$F$561,Data!$A$2:$A$561,$A63,Data!$D$2:$D$561,D$3)</f>
        <v>84.75</v>
      </c>
      <c r="E63" s="12">
        <f>SUMIFS(Data!$F$2:$F$561,Data!$A$2:$A$561,$A63,Data!$D$2:$D$561,E$3)</f>
        <v>1213.95</v>
      </c>
      <c r="F63" s="12">
        <f>SUMIFS(Data!$F$2:$F$561,Data!$A$2:$A$561,$A63,Data!$D$2:$D$561,F$3)</f>
        <v>254</v>
      </c>
      <c r="G63" s="12">
        <f>SUMIFS(Data!$F$2:$F$561,Data!$A$2:$A$561,$A63,Data!$D$2:$D$561,G$3)</f>
        <v>27</v>
      </c>
      <c r="H63" s="12">
        <f>SUMIFS(Data!$F$2:$F$561,Data!$A$2:$A$561,$A63,Data!$D$2:$D$561,H$3)</f>
        <v>354</v>
      </c>
      <c r="I63" s="12">
        <f>SUMIFS(Data!$F$2:$F$561,Data!$A$2:$A$561,$A63,Data!$D$2:$D$561,I$3)</f>
        <v>53.1</v>
      </c>
      <c r="J63" s="12">
        <f t="shared" si="7"/>
        <v>2247.5300000000002</v>
      </c>
    </row>
    <row r="64" spans="1:10" x14ac:dyDescent="0.25">
      <c r="A64" s="14">
        <f t="shared" si="8"/>
        <v>43496</v>
      </c>
      <c r="B64" s="12">
        <f>SUMIFS(Data!$F$2:$F$561,Data!$A$2:$A$561,$A64,Data!$D$2:$D$561,B$3)</f>
        <v>179.7</v>
      </c>
      <c r="C64" s="12">
        <f>SUMIFS(Data!$F$2:$F$561,Data!$A$2:$A$561,$A64,Data!$D$2:$D$561,C$3)</f>
        <v>189.65</v>
      </c>
      <c r="D64" s="12">
        <f>SUMIFS(Data!$F$2:$F$561,Data!$A$2:$A$561,$A64,Data!$D$2:$D$561,D$3)</f>
        <v>99.7</v>
      </c>
      <c r="E64" s="12">
        <f>SUMIFS(Data!$F$2:$F$561,Data!$A$2:$A$561,$A64,Data!$D$2:$D$561,E$3)</f>
        <v>1660.61</v>
      </c>
      <c r="F64" s="12">
        <f>SUMIFS(Data!$F$2:$F$561,Data!$A$2:$A$561,$A64,Data!$D$2:$D$561,F$3)</f>
        <v>295.2</v>
      </c>
      <c r="G64" s="12">
        <f>SUMIFS(Data!$F$2:$F$561,Data!$A$2:$A$561,$A64,Data!$D$2:$D$561,G$3)</f>
        <v>23</v>
      </c>
      <c r="H64" s="12">
        <f>SUMIFS(Data!$F$2:$F$561,Data!$A$2:$A$561,$A64,Data!$D$2:$D$561,H$3)</f>
        <v>386</v>
      </c>
      <c r="I64" s="12">
        <f>SUMIFS(Data!$F$2:$F$561,Data!$A$2:$A$561,$A64,Data!$D$2:$D$561,I$3)</f>
        <v>41.3</v>
      </c>
      <c r="J64" s="12">
        <f t="shared" si="7"/>
        <v>2875.16</v>
      </c>
    </row>
    <row r="65" spans="1:10" x14ac:dyDescent="0.25">
      <c r="A65" s="14">
        <f t="shared" si="8"/>
        <v>43524</v>
      </c>
      <c r="B65" s="12">
        <f>SUMIFS(Data!$F$2:$F$561,Data!$A$2:$A$561,$A65,Data!$D$2:$D$561,B$3)</f>
        <v>133.72999999999999</v>
      </c>
      <c r="C65" s="12">
        <f>SUMIFS(Data!$F$2:$F$561,Data!$A$2:$A$561,$A65,Data!$D$2:$D$561,C$3)</f>
        <v>142.16</v>
      </c>
      <c r="D65" s="12">
        <f>SUMIFS(Data!$F$2:$F$561,Data!$A$2:$A$561,$A65,Data!$D$2:$D$561,D$3)</f>
        <v>110.2</v>
      </c>
      <c r="E65" s="12">
        <f>SUMIFS(Data!$F$2:$F$561,Data!$A$2:$A$561,$A65,Data!$D$2:$D$561,E$3)</f>
        <v>1001.21</v>
      </c>
      <c r="F65" s="12">
        <f>SUMIFS(Data!$F$2:$F$561,Data!$A$2:$A$561,$A65,Data!$D$2:$D$561,F$3)</f>
        <v>249.4</v>
      </c>
      <c r="G65" s="12">
        <f>SUMIFS(Data!$F$2:$F$561,Data!$A$2:$A$561,$A65,Data!$D$2:$D$561,G$3)</f>
        <v>12</v>
      </c>
      <c r="H65" s="12">
        <f>SUMIFS(Data!$F$2:$F$561,Data!$A$2:$A$561,$A65,Data!$D$2:$D$561,H$3)</f>
        <v>226</v>
      </c>
      <c r="I65" s="12">
        <f>SUMIFS(Data!$F$2:$F$561,Data!$A$2:$A$561,$A65,Data!$D$2:$D$561,I$3)</f>
        <v>69.5</v>
      </c>
      <c r="J65" s="12">
        <f t="shared" si="7"/>
        <v>1944.2</v>
      </c>
    </row>
    <row r="66" spans="1:10" x14ac:dyDescent="0.25">
      <c r="A66" s="14">
        <f t="shared" si="8"/>
        <v>43555</v>
      </c>
      <c r="B66" s="12">
        <f>SUMIFS(Data!$F$2:$F$561,Data!$A$2:$A$561,$A66,Data!$D$2:$D$561,B$3)</f>
        <v>154.52000000000001</v>
      </c>
      <c r="C66" s="12">
        <f>SUMIFS(Data!$F$2:$F$561,Data!$A$2:$A$561,$A66,Data!$D$2:$D$561,C$3)</f>
        <v>113.12</v>
      </c>
      <c r="D66" s="12">
        <f>SUMIFS(Data!$F$2:$F$561,Data!$A$2:$A$561,$A66,Data!$D$2:$D$561,D$3)</f>
        <v>83.35</v>
      </c>
      <c r="E66" s="12">
        <f>SUMIFS(Data!$F$2:$F$561,Data!$A$2:$A$561,$A66,Data!$D$2:$D$561,E$3)</f>
        <v>941.05</v>
      </c>
      <c r="F66" s="12">
        <f>SUMIFS(Data!$F$2:$F$561,Data!$A$2:$A$561,$A66,Data!$D$2:$D$561,F$3)</f>
        <v>301.39999999999998</v>
      </c>
      <c r="G66" s="12">
        <f>SUMIFS(Data!$F$2:$F$561,Data!$A$2:$A$561,$A66,Data!$D$2:$D$561,G$3)</f>
        <v>19</v>
      </c>
      <c r="H66" s="12">
        <f>SUMIFS(Data!$F$2:$F$561,Data!$A$2:$A$561,$A66,Data!$D$2:$D$561,H$3)</f>
        <v>257</v>
      </c>
      <c r="I66" s="12">
        <f>SUMIFS(Data!$F$2:$F$561,Data!$A$2:$A$561,$A66,Data!$D$2:$D$561,I$3)</f>
        <v>169.5</v>
      </c>
      <c r="J66" s="12">
        <f t="shared" si="7"/>
        <v>2038.94</v>
      </c>
    </row>
    <row r="67" spans="1:10" x14ac:dyDescent="0.25">
      <c r="A67" s="14">
        <f t="shared" si="8"/>
        <v>43585</v>
      </c>
      <c r="B67" s="12">
        <f>SUMIFS(Data!$F$2:$F$561,Data!$A$2:$A$561,$A67,Data!$D$2:$D$561,B$3)</f>
        <v>161.38999999999999</v>
      </c>
      <c r="C67" s="12">
        <f>SUMIFS(Data!$F$2:$F$561,Data!$A$2:$A$561,$A67,Data!$D$2:$D$561,C$3)</f>
        <v>100.17</v>
      </c>
      <c r="D67" s="12">
        <f>SUMIFS(Data!$F$2:$F$561,Data!$A$2:$A$561,$A67,Data!$D$2:$D$561,D$3)</f>
        <v>88.1</v>
      </c>
      <c r="E67" s="12">
        <f>SUMIFS(Data!$F$2:$F$561,Data!$A$2:$A$561,$A67,Data!$D$2:$D$561,E$3)</f>
        <v>647.65</v>
      </c>
      <c r="F67" s="12">
        <f>SUMIFS(Data!$F$2:$F$561,Data!$A$2:$A$561,$A67,Data!$D$2:$D$561,F$3)</f>
        <v>299.39999999999998</v>
      </c>
      <c r="G67" s="12">
        <f>SUMIFS(Data!$F$2:$F$561,Data!$A$2:$A$561,$A67,Data!$D$2:$D$561,G$3)</f>
        <v>22</v>
      </c>
      <c r="H67" s="12">
        <f>SUMIFS(Data!$F$2:$F$561,Data!$A$2:$A$561,$A67,Data!$D$2:$D$561,H$3)</f>
        <v>219</v>
      </c>
      <c r="I67" s="12">
        <f>SUMIFS(Data!$F$2:$F$561,Data!$A$2:$A$561,$A67,Data!$D$2:$D$561,I$3)</f>
        <v>179.1</v>
      </c>
      <c r="J67" s="12">
        <f t="shared" si="7"/>
        <v>1716.81</v>
      </c>
    </row>
    <row r="68" spans="1:10" x14ac:dyDescent="0.25">
      <c r="A68" s="14">
        <f t="shared" si="8"/>
        <v>43616</v>
      </c>
      <c r="B68" s="12">
        <f>SUMIFS(Data!$F$2:$F$561,Data!$A$2:$A$561,$A68,Data!$D$2:$D$561,B$3)</f>
        <v>168.04</v>
      </c>
      <c r="C68" s="12">
        <f>SUMIFS(Data!$F$2:$F$561,Data!$A$2:$A$561,$A68,Data!$D$2:$D$561,C$3)</f>
        <v>97.26</v>
      </c>
      <c r="D68" s="12">
        <f>SUMIFS(Data!$F$2:$F$561,Data!$A$2:$A$561,$A68,Data!$D$2:$D$561,D$3)</f>
        <v>104.1</v>
      </c>
      <c r="E68" s="12">
        <f>SUMIFS(Data!$F$2:$F$561,Data!$A$2:$A$561,$A68,Data!$D$2:$D$561,E$3)</f>
        <v>703.56</v>
      </c>
      <c r="F68" s="12">
        <f>SUMIFS(Data!$F$2:$F$561,Data!$A$2:$A$561,$A68,Data!$D$2:$D$561,F$3)</f>
        <v>265.8</v>
      </c>
      <c r="G68" s="12">
        <f>SUMIFS(Data!$F$2:$F$561,Data!$A$2:$A$561,$A68,Data!$D$2:$D$561,G$3)</f>
        <v>26</v>
      </c>
      <c r="H68" s="12">
        <f>SUMIFS(Data!$F$2:$F$561,Data!$A$2:$A$561,$A68,Data!$D$2:$D$561,H$3)</f>
        <v>298.29000000000002</v>
      </c>
      <c r="I68" s="12">
        <f>SUMIFS(Data!$F$2:$F$561,Data!$A$2:$A$561,$A68,Data!$D$2:$D$561,I$3)</f>
        <v>135.4</v>
      </c>
      <c r="J68" s="12">
        <f t="shared" ref="J68:J99" si="9">SUM(B68:I68)</f>
        <v>1798.45</v>
      </c>
    </row>
    <row r="69" spans="1:10" x14ac:dyDescent="0.25">
      <c r="A69" s="14">
        <f t="shared" si="8"/>
        <v>43646</v>
      </c>
      <c r="B69" s="12">
        <f>SUMIFS(Data!$F$2:$F$561,Data!$A$2:$A$561,$A69,Data!$D$2:$D$561,B$3)</f>
        <v>151.54</v>
      </c>
      <c r="C69" s="12">
        <f>SUMIFS(Data!$F$2:$F$561,Data!$A$2:$A$561,$A69,Data!$D$2:$D$561,C$3)</f>
        <v>101.63</v>
      </c>
      <c r="D69" s="12">
        <f>SUMIFS(Data!$F$2:$F$561,Data!$A$2:$A$561,$A69,Data!$D$2:$D$561,D$3)</f>
        <v>103.2</v>
      </c>
      <c r="E69" s="12">
        <f>SUMIFS(Data!$F$2:$F$561,Data!$A$2:$A$561,$A69,Data!$D$2:$D$561,E$3)</f>
        <v>610</v>
      </c>
      <c r="F69" s="12">
        <f>SUMIFS(Data!$F$2:$F$561,Data!$A$2:$A$561,$A69,Data!$D$2:$D$561,F$3)</f>
        <v>193</v>
      </c>
      <c r="G69" s="12">
        <f>SUMIFS(Data!$F$2:$F$561,Data!$A$2:$A$561,$A69,Data!$D$2:$D$561,G$3)</f>
        <v>25</v>
      </c>
      <c r="H69" s="12">
        <f>SUMIFS(Data!$F$2:$F$561,Data!$A$2:$A$561,$A69,Data!$D$2:$D$561,H$3)</f>
        <v>142</v>
      </c>
      <c r="I69" s="12">
        <f>SUMIFS(Data!$F$2:$F$561,Data!$A$2:$A$561,$A69,Data!$D$2:$D$561,I$3)</f>
        <v>156.04</v>
      </c>
      <c r="J69" s="12">
        <f t="shared" si="9"/>
        <v>1482.4099999999999</v>
      </c>
    </row>
    <row r="70" spans="1:10" x14ac:dyDescent="0.25">
      <c r="A70" s="14">
        <f t="shared" si="8"/>
        <v>43677</v>
      </c>
      <c r="B70" s="12">
        <f>SUMIFS(Data!$F$2:$F$561,Data!$A$2:$A$561,$A70,Data!$D$2:$D$561,B$3)</f>
        <v>181</v>
      </c>
      <c r="C70" s="12">
        <f>SUMIFS(Data!$F$2:$F$561,Data!$A$2:$A$561,$A70,Data!$D$2:$D$561,C$3)</f>
        <v>103.54</v>
      </c>
      <c r="D70" s="12">
        <f>SUMIFS(Data!$F$2:$F$561,Data!$A$2:$A$561,$A70,Data!$D$2:$D$561,D$3)</f>
        <v>92.8</v>
      </c>
      <c r="E70" s="12">
        <f>SUMIFS(Data!$F$2:$F$561,Data!$A$2:$A$561,$A70,Data!$D$2:$D$561,E$3)</f>
        <v>620.66999999999996</v>
      </c>
      <c r="F70" s="12">
        <f>SUMIFS(Data!$F$2:$F$561,Data!$A$2:$A$561,$A70,Data!$D$2:$D$561,F$3)</f>
        <v>250.6</v>
      </c>
      <c r="G70" s="12">
        <f>SUMIFS(Data!$F$2:$F$561,Data!$A$2:$A$561,$A70,Data!$D$2:$D$561,G$3)</f>
        <v>20</v>
      </c>
      <c r="H70" s="12">
        <f>SUMIFS(Data!$F$2:$F$561,Data!$A$2:$A$561,$A70,Data!$D$2:$D$561,H$3)</f>
        <v>115</v>
      </c>
      <c r="I70" s="12">
        <f>SUMIFS(Data!$F$2:$F$561,Data!$A$2:$A$561,$A70,Data!$D$2:$D$561,I$3)</f>
        <v>105.2</v>
      </c>
      <c r="J70" s="12">
        <f t="shared" si="9"/>
        <v>1488.81</v>
      </c>
    </row>
    <row r="71" spans="1:10" x14ac:dyDescent="0.25">
      <c r="A71" s="14">
        <f t="shared" si="8"/>
        <v>43708</v>
      </c>
      <c r="B71" s="12">
        <f>SUMIFS(Data!$F$2:$F$561,Data!$A$2:$A$561,$A71,Data!$D$2:$D$561,B$3)</f>
        <v>181.91</v>
      </c>
      <c r="C71" s="12">
        <f>SUMIFS(Data!$F$2:$F$561,Data!$A$2:$A$561,$A71,Data!$D$2:$D$561,C$3)</f>
        <v>88.27</v>
      </c>
      <c r="D71" s="12">
        <f>SUMIFS(Data!$F$2:$F$561,Data!$A$2:$A$561,$A71,Data!$D$2:$D$561,D$3)</f>
        <v>84.2</v>
      </c>
      <c r="E71" s="12">
        <f>SUMIFS(Data!$F$2:$F$561,Data!$A$2:$A$561,$A71,Data!$D$2:$D$561,E$3)</f>
        <v>518.1</v>
      </c>
      <c r="F71" s="12">
        <f>SUMIFS(Data!$F$2:$F$561,Data!$A$2:$A$561,$A71,Data!$D$2:$D$561,F$3)</f>
        <v>237</v>
      </c>
      <c r="G71" s="12">
        <f>SUMIFS(Data!$F$2:$F$561,Data!$A$2:$A$561,$A71,Data!$D$2:$D$561,G$3)</f>
        <v>26</v>
      </c>
      <c r="H71" s="12">
        <f>SUMIFS(Data!$F$2:$F$561,Data!$A$2:$A$561,$A71,Data!$D$2:$D$561,H$3)</f>
        <v>145</v>
      </c>
      <c r="I71" s="12">
        <f>SUMIFS(Data!$F$2:$F$561,Data!$A$2:$A$561,$A71,Data!$D$2:$D$561,I$3)</f>
        <v>97.3</v>
      </c>
      <c r="J71" s="12">
        <f t="shared" si="9"/>
        <v>1377.78</v>
      </c>
    </row>
    <row r="72" spans="1:10" x14ac:dyDescent="0.25">
      <c r="A72" s="14">
        <f t="shared" si="8"/>
        <v>43738</v>
      </c>
      <c r="B72" s="12">
        <f>SUMIFS(Data!$F$2:$F$561,Data!$A$2:$A$561,$A72,Data!$D$2:$D$561,B$3)</f>
        <v>161.07</v>
      </c>
      <c r="C72" s="12">
        <f>SUMIFS(Data!$F$2:$F$561,Data!$A$2:$A$561,$A72,Data!$D$2:$D$561,C$3)</f>
        <v>111.44</v>
      </c>
      <c r="D72" s="12">
        <f>SUMIFS(Data!$F$2:$F$561,Data!$A$2:$A$561,$A72,Data!$D$2:$D$561,D$3)</f>
        <v>93.5</v>
      </c>
      <c r="E72" s="12">
        <f>SUMIFS(Data!$F$2:$F$561,Data!$A$2:$A$561,$A72,Data!$D$2:$D$561,E$3)</f>
        <v>984.48</v>
      </c>
      <c r="F72" s="12">
        <f>SUMIFS(Data!$F$2:$F$561,Data!$A$2:$A$561,$A72,Data!$D$2:$D$561,F$3)</f>
        <v>227.8</v>
      </c>
      <c r="G72" s="12">
        <f>SUMIFS(Data!$F$2:$F$561,Data!$A$2:$A$561,$A72,Data!$D$2:$D$561,G$3)</f>
        <v>16</v>
      </c>
      <c r="H72" s="12">
        <f>SUMIFS(Data!$F$2:$F$561,Data!$A$2:$A$561,$A72,Data!$D$2:$D$561,H$3)</f>
        <v>121.42</v>
      </c>
      <c r="I72" s="12">
        <f>SUMIFS(Data!$F$2:$F$561,Data!$A$2:$A$561,$A72,Data!$D$2:$D$561,I$3)</f>
        <v>109.1</v>
      </c>
      <c r="J72" s="12">
        <f t="shared" si="9"/>
        <v>1824.81</v>
      </c>
    </row>
    <row r="73" spans="1:10" x14ac:dyDescent="0.25">
      <c r="A73" s="14">
        <f t="shared" si="8"/>
        <v>43769</v>
      </c>
      <c r="B73" s="12">
        <f>SUMIFS(Data!$F$2:$F$561,Data!$A$2:$A$561,$A73,Data!$D$2:$D$561,B$3)</f>
        <v>44.37</v>
      </c>
      <c r="C73" s="12">
        <f>SUMIFS(Data!$F$2:$F$561,Data!$A$2:$A$561,$A73,Data!$D$2:$D$561,C$3)</f>
        <v>37.299999999999997</v>
      </c>
      <c r="D73" s="12">
        <f>SUMIFS(Data!$F$2:$F$561,Data!$A$2:$A$561,$A73,Data!$D$2:$D$561,D$3)</f>
        <v>20.65</v>
      </c>
      <c r="E73" s="12">
        <f>SUMIFS(Data!$F$2:$F$561,Data!$A$2:$A$561,$A73,Data!$D$2:$D$561,E$3)</f>
        <v>295.14999999999998</v>
      </c>
      <c r="F73" s="12">
        <f>SUMIFS(Data!$F$2:$F$561,Data!$A$2:$A$561,$A73,Data!$D$2:$D$561,F$3)</f>
        <v>86</v>
      </c>
      <c r="G73" s="12">
        <f>SUMIFS(Data!$F$2:$F$561,Data!$A$2:$A$561,$A73,Data!$D$2:$D$561,G$3)</f>
        <v>7</v>
      </c>
      <c r="H73" s="12">
        <f>SUMIFS(Data!$F$2:$F$561,Data!$A$2:$A$561,$A73,Data!$D$2:$D$561,H$3)</f>
        <v>37</v>
      </c>
      <c r="I73" s="12">
        <f>SUMIFS(Data!$F$2:$F$561,Data!$A$2:$A$561,$A73,Data!$D$2:$D$561,I$3)</f>
        <v>11.13</v>
      </c>
      <c r="J73" s="12">
        <f t="shared" si="9"/>
        <v>538.6</v>
      </c>
    </row>
    <row r="74" spans="1:10" x14ac:dyDescent="0.25">
      <c r="A74" s="2" t="s">
        <v>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topLeftCell="A10" zoomScaleNormal="100" workbookViewId="0">
      <selection activeCell="A22" sqref="A22"/>
    </sheetView>
  </sheetViews>
  <sheetFormatPr defaultColWidth="8.7109375" defaultRowHeight="15" x14ac:dyDescent="0.25"/>
  <cols>
    <col min="1" max="1" width="150" customWidth="1"/>
  </cols>
  <sheetData>
    <row r="1" spans="1:1" ht="15.75" x14ac:dyDescent="0.25">
      <c r="A1" s="9" t="s">
        <v>44</v>
      </c>
    </row>
    <row r="2" spans="1:1" x14ac:dyDescent="0.25">
      <c r="A2" s="5"/>
    </row>
    <row r="3" spans="1:1" x14ac:dyDescent="0.25">
      <c r="A3" s="10" t="s">
        <v>45</v>
      </c>
    </row>
    <row r="4" spans="1:1" x14ac:dyDescent="0.25">
      <c r="A4" s="5" t="s">
        <v>46</v>
      </c>
    </row>
    <row r="5" spans="1:1" x14ac:dyDescent="0.25">
      <c r="A5" s="5" t="s">
        <v>47</v>
      </c>
    </row>
    <row r="6" spans="1:1" x14ac:dyDescent="0.25">
      <c r="A6" s="5"/>
    </row>
    <row r="7" spans="1:1" x14ac:dyDescent="0.25">
      <c r="A7" s="10" t="s">
        <v>48</v>
      </c>
    </row>
    <row r="8" spans="1:1" x14ac:dyDescent="0.25">
      <c r="A8" s="5" t="s">
        <v>49</v>
      </c>
    </row>
    <row r="9" spans="1:1" x14ac:dyDescent="0.25">
      <c r="A9" s="5" t="s">
        <v>50</v>
      </c>
    </row>
    <row r="10" spans="1:1" x14ac:dyDescent="0.25">
      <c r="A10" s="5" t="s">
        <v>51</v>
      </c>
    </row>
    <row r="11" spans="1:1" x14ac:dyDescent="0.25">
      <c r="A11" s="5" t="s">
        <v>52</v>
      </c>
    </row>
    <row r="12" spans="1:1" x14ac:dyDescent="0.25">
      <c r="A12" s="5"/>
    </row>
    <row r="13" spans="1:1" x14ac:dyDescent="0.25">
      <c r="A13" s="10" t="s">
        <v>53</v>
      </c>
    </row>
    <row r="14" spans="1:1" x14ac:dyDescent="0.25">
      <c r="A14" s="5" t="s">
        <v>54</v>
      </c>
    </row>
    <row r="15" spans="1:1" x14ac:dyDescent="0.25">
      <c r="A15" s="5" t="s">
        <v>55</v>
      </c>
    </row>
    <row r="16" spans="1:1" x14ac:dyDescent="0.25">
      <c r="A16" s="5" t="s">
        <v>56</v>
      </c>
    </row>
    <row r="17" spans="1:1" x14ac:dyDescent="0.25">
      <c r="A17" s="5" t="s">
        <v>57</v>
      </c>
    </row>
    <row r="18" spans="1:1" x14ac:dyDescent="0.25">
      <c r="A18" s="5" t="s">
        <v>58</v>
      </c>
    </row>
    <row r="19" spans="1:1" x14ac:dyDescent="0.25">
      <c r="A19" s="5" t="s">
        <v>59</v>
      </c>
    </row>
    <row r="20" spans="1:1" x14ac:dyDescent="0.25">
      <c r="A20" s="5"/>
    </row>
    <row r="21" spans="1:1" x14ac:dyDescent="0.25">
      <c r="A21" s="10" t="s">
        <v>60</v>
      </c>
    </row>
    <row r="22" spans="1:1" x14ac:dyDescent="0.25">
      <c r="A22" s="5" t="s">
        <v>61</v>
      </c>
    </row>
    <row r="23" spans="1:1" x14ac:dyDescent="0.25">
      <c r="A23" s="5" t="s">
        <v>62</v>
      </c>
    </row>
    <row r="24" spans="1:1" x14ac:dyDescent="0.25">
      <c r="A24" s="5" t="s">
        <v>63</v>
      </c>
    </row>
    <row r="25" spans="1:1" x14ac:dyDescent="0.25">
      <c r="A25" s="5" t="s">
        <v>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Pivot</vt:lpstr>
      <vt:lpstr>Data</vt:lpstr>
      <vt:lpstr>Lookup</vt:lpstr>
      <vt:lpstr>Analysis</vt:lpstr>
      <vt:lpstr>Notes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1</cp:revision>
  <dcterms:created xsi:type="dcterms:W3CDTF">2026-10-15T18:28:21Z</dcterms:created>
  <dcterms:modified xsi:type="dcterms:W3CDTF">2026-10-16T11:04:48Z</dcterms:modified>
  <dc:language>en-US</dc:language>
</cp:coreProperties>
</file>